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7605"/>
  </bookViews>
  <sheets>
    <sheet name="问题" sheetId="1" r:id="rId1"/>
    <sheet name="数据分析" sheetId="2" r:id="rId2"/>
    <sheet name="测评结果记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<sst xmlns="http://schemas.openxmlformats.org/spreadsheetml/2006/main" count="451" uniqueCount="142">
  <si>
    <t>ID</t>
  </si>
  <si>
    <t>主题</t>
  </si>
  <si>
    <t>测评问题</t>
  </si>
  <si>
    <t>关联知识块</t>
  </si>
  <si>
    <t>chunk_number</t>
  </si>
  <si>
    <t>KAG_Recall</t>
  </si>
  <si>
    <t>KAG_Precision</t>
  </si>
  <si>
    <t>KAG_F1</t>
  </si>
  <si>
    <t>RAG__Recall</t>
  </si>
  <si>
    <t>RAG_Precision</t>
  </si>
  <si>
    <t>RAG_F1</t>
  </si>
  <si>
    <t>疾病特征</t>
  </si>
  <si>
    <t>我最近总是感觉很累，睡了很久也没精神，这和肺癌有关系吗？</t>
  </si>
  <si>
    <t>这种癌症带来的累，和我以前干活累了的感覺一样吗？</t>
  </si>
  <si>
    <t>癌因性疲乏一般会持续多久？能完全好吗？</t>
  </si>
  <si>
    <r>
      <t>我已经结束化疗</t>
    </r>
    <r>
      <rPr>
        <sz val="10"/>
        <rFont val="Times New Roman"/>
        <charset val="134"/>
      </rPr>
      <t>3</t>
    </r>
    <r>
      <rPr>
        <sz val="10"/>
        <rFont val="宋体"/>
        <charset val="134"/>
      </rPr>
      <t>年，但疲劳感越来越重，和癌症复发有关系吗？</t>
    </r>
  </si>
  <si>
    <r>
      <t>101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102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206</t>
    </r>
  </si>
  <si>
    <t>我搞不懂为什么癌症好了还会这么累，身体里到底发生了什么？</t>
  </si>
  <si>
    <r>
      <t>101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102</t>
    </r>
  </si>
  <si>
    <r>
      <t>我听说</t>
    </r>
    <r>
      <rPr>
        <sz val="10"/>
        <rFont val="Times New Roman"/>
        <charset val="134"/>
      </rPr>
      <t>CRF</t>
    </r>
    <r>
      <rPr>
        <sz val="10"/>
        <rFont val="宋体"/>
        <charset val="134"/>
      </rPr>
      <t>和炎症因子有关，该怎么理解这个病理机制？</t>
    </r>
  </si>
  <si>
    <t>评估处理</t>
  </si>
  <si>
    <t>我怎么才能知道自己现在的疲乏到底有多严重？</t>
  </si>
  <si>
    <t>疲劳到什么程度需要去看医生？</t>
  </si>
  <si>
    <t>我最近疲劳感明显，应该先自我评估还是直接去医院？</t>
  </si>
  <si>
    <r>
      <t>201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204</t>
    </r>
  </si>
  <si>
    <r>
      <t>我已经尝试了非药物治疗一个月，但疲劳评分从</t>
    </r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分升到</t>
    </r>
    <r>
      <rPr>
        <sz val="10"/>
        <color theme="1"/>
        <rFont val="Times New Roman"/>
        <charset val="134"/>
      </rPr>
      <t>8</t>
    </r>
    <r>
      <rPr>
        <sz val="10"/>
        <color theme="1"/>
        <rFont val="宋体"/>
        <charset val="134"/>
      </rPr>
      <t>分，是不是该考虑药物治疗？</t>
    </r>
  </si>
  <si>
    <r>
      <t>203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204</t>
    </r>
  </si>
  <si>
    <t>如果我因为疲劳无法完成日常活动，家人应该如何帮助我进行评估和记录？</t>
  </si>
  <si>
    <t>我疲劳程度是中度，但不想吃药，有哪些非药物方法可以先尝试？</t>
  </si>
  <si>
    <t>运动干预</t>
  </si>
  <si>
    <t>有氧运动和阻力训练对缓解疲乏的作用有什么不一样？我该怎么选？</t>
  </si>
  <si>
    <t>我术后体力差，适合做哪些有氧运动，可以慢跑吗？</t>
  </si>
  <si>
    <r>
      <t>302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303</t>
    </r>
  </si>
  <si>
    <t>我想知道哪些情况不能运动，怕自己不注意出问题。</t>
  </si>
  <si>
    <r>
      <t>304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307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308</t>
    </r>
  </si>
  <si>
    <t>我肺癌术后稍微走两步就喘，还能运动干预吗？</t>
  </si>
  <si>
    <t>我有骨转移和骨质疏松，还能做阻力训练吗？哪些动作是绝对禁止的？</t>
  </si>
  <si>
    <t>我想同时进行有氧和阻力训练，应该如何安排频率和强度？</t>
  </si>
  <si>
    <r>
      <t>302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309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310</t>
    </r>
  </si>
  <si>
    <t>营养管理</t>
  </si>
  <si>
    <t>我本身有点胖，确诊后家人让我多补补，但我怕越补越胖，到底该怎么吃？</t>
  </si>
  <si>
    <t>我最近瘦了不少，吃饭没胃口，吃一点就饱了，怎么才能把体重补回来？</t>
  </si>
  <si>
    <r>
      <t>401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405</t>
    </r>
  </si>
  <si>
    <r>
      <t>我现在体重正常，</t>
    </r>
    <r>
      <rPr>
        <sz val="10"/>
        <color theme="1"/>
        <rFont val="Times New Roman"/>
        <charset val="134"/>
      </rPr>
      <t>BMI 22</t>
    </r>
    <r>
      <rPr>
        <sz val="10"/>
        <color theme="1"/>
        <rFont val="宋体"/>
        <charset val="134"/>
      </rPr>
      <t>，但听说治疗过程中体重会变化。什么情况下需要调整饮食？</t>
    </r>
  </si>
  <si>
    <r>
      <t>401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403~405</t>
    </r>
  </si>
  <si>
    <t>我在化疗期间恶心呕吐严重，体重持续下降，营养管理上应该优先补充什么？</t>
  </si>
  <si>
    <t>我化疗后食欲下降，一周的食物搭配有什么推荐？</t>
  </si>
  <si>
    <r>
      <t>我</t>
    </r>
    <r>
      <rPr>
        <sz val="10"/>
        <color theme="1"/>
        <rFont val="Times New Roman"/>
        <charset val="134"/>
      </rPr>
      <t>BMI</t>
    </r>
    <r>
      <rPr>
        <sz val="10"/>
        <color theme="1"/>
        <rFont val="宋体"/>
        <charset val="134"/>
      </rPr>
      <t>才</t>
    </r>
    <r>
      <rPr>
        <sz val="10"/>
        <color theme="1"/>
        <rFont val="Times New Roman"/>
        <charset val="134"/>
      </rPr>
      <t>16</t>
    </r>
    <r>
      <rPr>
        <sz val="10"/>
        <color theme="1"/>
        <rFont val="宋体"/>
        <charset val="134"/>
      </rPr>
      <t>，知道要多吃，但就是没胃口，吃一点就饱，怎么办？</t>
    </r>
  </si>
  <si>
    <t>心理干预</t>
  </si>
  <si>
    <t>我对认知行为疗法不太了解，它和正念减压有什么区别？</t>
  </si>
  <si>
    <r>
      <t>503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508</t>
    </r>
  </si>
  <si>
    <t>我最近心情很差，不想去医院，也不想吃药，觉得治了也没用。我知道这样不对，但控制不住。该怎么办？</t>
  </si>
  <si>
    <t>我现在是肺癌晚期，身体越来越差，心里有很多恐惧和遗憾，不知道跟谁说。有什么适合我这种情况的心理支持？</t>
  </si>
  <si>
    <t>我听说正念减压对缓解癌因性疲乏症状有用，具体怎么做？就是冥想吗？</t>
  </si>
  <si>
    <t>我怕以后症状越来越重，拖累老伴和孩子，这种担心比身体的累还难受。能进行什么心理干预？</t>
  </si>
  <si>
    <r>
      <t>501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508</t>
    </r>
  </si>
  <si>
    <t>我想要缓解疲乏，有哪些居家可以进行的心理干预方法？</t>
  </si>
  <si>
    <r>
      <t>501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504-507</t>
    </r>
  </si>
  <si>
    <t>睡眠管理</t>
  </si>
  <si>
    <t>我晚上总是咳嗽，影响睡眠，有什么建议？</t>
  </si>
  <si>
    <t>有没有适合肺癌患者的理疗方法改善睡眠？</t>
  </si>
  <si>
    <r>
      <t>603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604</t>
    </r>
  </si>
  <si>
    <t>睡前可以做哪些放松活动帮助入睡？</t>
  </si>
  <si>
    <t>我确诊后晚上总是睡不好，不知道是不是跟睡眠环境有关，该怎么调整？</t>
  </si>
  <si>
    <r>
      <t>601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602</t>
    </r>
  </si>
  <si>
    <t>听说用中药做个香囊贴在肚脐上能助眠，具体有什么成分？</t>
  </si>
  <si>
    <t>我白天因为疲乏就躺着睡，结果晚上精神得很，睡不着，第二天又累，恶性循环。该怎么调整？</t>
  </si>
  <si>
    <t>物理疗法</t>
  </si>
  <si>
    <t>穴位按摩常用的穴位有哪些？</t>
  </si>
  <si>
    <t>我听病友说针灸能缓解疲乏，是真的吗？要扎哪些穴位？</t>
  </si>
  <si>
    <t>艾灸对缓解疲劳有帮助吗？一般灸哪些穴位？</t>
  </si>
  <si>
    <t>我有多处骨转移，还能做推拿按摩吗？哪些部位和手法是安全的？</t>
  </si>
  <si>
    <t>有哪些物理疗法可以改善疲乏？</t>
  </si>
  <si>
    <t>中药足浴是什么原理，对改善疲乏有帮助吗？</t>
  </si>
  <si>
    <r>
      <rPr>
        <b/>
        <sz val="11"/>
        <color theme="1"/>
        <rFont val="宋体"/>
        <charset val="134"/>
      </rPr>
      <t>关联知识块</t>
    </r>
  </si>
  <si>
    <t>复杂度</t>
  </si>
  <si>
    <t>Recall</t>
  </si>
  <si>
    <t>Precision</t>
  </si>
  <si>
    <t>F1</t>
  </si>
  <si>
    <r>
      <rPr>
        <sz val="11"/>
        <color theme="1"/>
        <rFont val="Times New Roman"/>
        <charset val="134"/>
      </rPr>
      <t>101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102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206</t>
    </r>
  </si>
  <si>
    <r>
      <rPr>
        <sz val="11"/>
        <color theme="1"/>
        <rFont val="Times New Roman"/>
        <charset val="134"/>
      </rPr>
      <t>101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102</t>
    </r>
  </si>
  <si>
    <r>
      <rPr>
        <sz val="11"/>
        <color theme="1"/>
        <rFont val="Times New Roman"/>
        <charset val="134"/>
      </rPr>
      <t>201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204</t>
    </r>
  </si>
  <si>
    <r>
      <rPr>
        <sz val="11"/>
        <color theme="1"/>
        <rFont val="Times New Roman"/>
        <charset val="134"/>
      </rPr>
      <t>203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204</t>
    </r>
  </si>
  <si>
    <r>
      <rPr>
        <sz val="11"/>
        <color theme="1"/>
        <rFont val="Times New Roman"/>
        <charset val="134"/>
      </rPr>
      <t>302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303</t>
    </r>
  </si>
  <si>
    <r>
      <rPr>
        <sz val="11"/>
        <color theme="1"/>
        <rFont val="Times New Roman"/>
        <charset val="134"/>
      </rPr>
      <t>304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307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308</t>
    </r>
  </si>
  <si>
    <r>
      <rPr>
        <sz val="11"/>
        <color theme="1"/>
        <rFont val="Times New Roman"/>
        <charset val="134"/>
      </rPr>
      <t>302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309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310</t>
    </r>
  </si>
  <si>
    <r>
      <rPr>
        <sz val="11"/>
        <color theme="1"/>
        <rFont val="Times New Roman"/>
        <charset val="134"/>
      </rPr>
      <t>401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405</t>
    </r>
  </si>
  <si>
    <r>
      <rPr>
        <sz val="11"/>
        <color theme="1"/>
        <rFont val="Times New Roman"/>
        <charset val="134"/>
      </rPr>
      <t>401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403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404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405</t>
    </r>
  </si>
  <si>
    <r>
      <rPr>
        <sz val="11"/>
        <color theme="1"/>
        <rFont val="Times New Roman"/>
        <charset val="134"/>
      </rPr>
      <t>503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508</t>
    </r>
  </si>
  <si>
    <r>
      <rPr>
        <sz val="11"/>
        <color theme="1"/>
        <rFont val="Times New Roman"/>
        <charset val="134"/>
      </rPr>
      <t>501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508</t>
    </r>
  </si>
  <si>
    <r>
      <rPr>
        <sz val="11"/>
        <color theme="1"/>
        <rFont val="Times New Roman"/>
        <charset val="134"/>
      </rPr>
      <t>501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504-507</t>
    </r>
  </si>
  <si>
    <r>
      <rPr>
        <sz val="11"/>
        <color theme="1"/>
        <rFont val="Times New Roman"/>
        <charset val="134"/>
      </rPr>
      <t>603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604</t>
    </r>
  </si>
  <si>
    <r>
      <rPr>
        <sz val="11"/>
        <color theme="1"/>
        <rFont val="Times New Roman"/>
        <charset val="134"/>
      </rPr>
      <t>601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602</t>
    </r>
  </si>
  <si>
    <t>问题1</t>
  </si>
  <si>
    <t>准确性</t>
  </si>
  <si>
    <t>相关性</t>
  </si>
  <si>
    <t>可靠性</t>
  </si>
  <si>
    <t>最优解答</t>
  </si>
  <si>
    <t>问题22</t>
  </si>
  <si>
    <t>答案1</t>
  </si>
  <si>
    <t>答案2</t>
  </si>
  <si>
    <t>答案3</t>
  </si>
  <si>
    <t>问题4</t>
  </si>
  <si>
    <t>问题25</t>
  </si>
  <si>
    <t>问题7</t>
  </si>
  <si>
    <t>问题28</t>
  </si>
  <si>
    <t>问题10</t>
  </si>
  <si>
    <t>问题31</t>
  </si>
  <si>
    <t>问题13</t>
  </si>
  <si>
    <t>问题34</t>
  </si>
  <si>
    <t>问题16</t>
  </si>
  <si>
    <t>问题37</t>
  </si>
  <si>
    <t>问题19</t>
  </si>
  <si>
    <t>问题40</t>
  </si>
  <si>
    <t>问题2</t>
  </si>
  <si>
    <t>问题23</t>
  </si>
  <si>
    <t>问题5</t>
  </si>
  <si>
    <t>问题26</t>
  </si>
  <si>
    <t>问题8</t>
  </si>
  <si>
    <t>问题29</t>
  </si>
  <si>
    <t>问题11</t>
  </si>
  <si>
    <t>问题32</t>
  </si>
  <si>
    <t>问题14</t>
  </si>
  <si>
    <t>问题35</t>
  </si>
  <si>
    <t>问题17</t>
  </si>
  <si>
    <t>问题38</t>
  </si>
  <si>
    <t>问题20</t>
  </si>
  <si>
    <t>问题41</t>
  </si>
  <si>
    <t>问题3</t>
  </si>
  <si>
    <t>问题24</t>
  </si>
  <si>
    <t>问题6</t>
  </si>
  <si>
    <t>问题27</t>
  </si>
  <si>
    <t>问题9</t>
  </si>
  <si>
    <t>问题30</t>
  </si>
  <si>
    <t>问题12</t>
  </si>
  <si>
    <t>问题33</t>
  </si>
  <si>
    <t>问题15</t>
  </si>
  <si>
    <t>问题36</t>
  </si>
  <si>
    <t>问题18</t>
  </si>
  <si>
    <t>问题39</t>
  </si>
  <si>
    <t>问题21</t>
  </si>
  <si>
    <t>问题42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</si>
</sst>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1"/>
      <color theme="1"/>
      <name val="宋体"/>
      <charset val="134"/>
      <scheme val="minor"/>
    </font>
    <font>
      <sz val="11"/>
      <color theme="1"/>
      <name val="华文中宋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b/>
      <sz val="11"/>
      <name val="Times New Roman"/>
      <charset val="134"/>
    </font>
    <font>
      <b/>
      <sz val="10"/>
      <name val="宋体"/>
      <charset val="134"/>
      <scheme val="minor"/>
    </font>
    <font>
      <b/>
      <sz val="10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0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21" fillId="8" borderId="13" applyNumberFormat="0" applyAlignment="0" applyProtection="0">
      <alignment vertical="center"/>
    </xf>
    <xf numFmtId="0" fontId="22" fillId="8" borderId="12" applyNumberFormat="0" applyAlignment="0" applyProtection="0">
      <alignment vertical="center"/>
    </xf>
    <xf numFmtId="0" fontId="23" fillId="9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tabSelected="1" topLeftCell="B1" workbookViewId="0">
      <selection activeCell="F5" sqref="F5"/>
    </sheetView>
  </sheetViews>
  <sheetFormatPr defaultColWidth="9.02654867256637" defaultRowHeight="13.85"/>
  <cols>
    <col min="1" max="1" width="9.02654867256637" style="6"/>
    <col min="2" max="2" width="10.4955752212389" style="17" customWidth="1"/>
    <col min="3" max="3" width="54.0353982300885" style="6" customWidth="1"/>
    <col min="4" max="4" width="13.6814159292035" style="7" customWidth="1"/>
    <col min="5" max="5" width="12.8761061946903" style="7" customWidth="1"/>
    <col min="6" max="6" width="13.0176991150442" style="8" customWidth="1"/>
    <col min="7" max="7" width="14.283185840708" style="9" customWidth="1"/>
    <col min="8" max="8" width="9.02654867256637" style="8"/>
    <col min="9" max="9" width="13.1681415929204" style="8" customWidth="1"/>
    <col min="10" max="10" width="14.6902654867257" style="9" customWidth="1"/>
    <col min="11" max="11" width="12.7964601769912" style="8"/>
  </cols>
  <sheetData>
    <row r="1" ht="14.25" spans="1:11">
      <c r="A1" s="18" t="s">
        <v>0</v>
      </c>
      <c r="B1" s="19" t="s">
        <v>1</v>
      </c>
      <c r="C1" s="20" t="s">
        <v>2</v>
      </c>
      <c r="D1" s="21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22" t="s">
        <v>8</v>
      </c>
      <c r="J1" s="23" t="s">
        <v>9</v>
      </c>
      <c r="K1" s="22" t="s">
        <v>10</v>
      </c>
    </row>
    <row r="2" spans="1:11">
      <c r="A2" s="15">
        <v>1</v>
      </c>
      <c r="B2" s="24" t="s">
        <v>11</v>
      </c>
      <c r="C2" s="25" t="s">
        <v>12</v>
      </c>
      <c r="D2" s="26">
        <v>101</v>
      </c>
      <c r="E2" s="7">
        <v>4</v>
      </c>
      <c r="F2" s="8">
        <v>1</v>
      </c>
      <c r="G2" s="9">
        <v>0.625</v>
      </c>
      <c r="H2" s="8">
        <f>2*F2*G2/(F2+G2)</f>
        <v>0.769230769230769</v>
      </c>
      <c r="I2" s="8">
        <v>1</v>
      </c>
      <c r="J2" s="9">
        <v>0.5</v>
      </c>
      <c r="K2" s="8">
        <f>2*I2*J2/(I2+J2)</f>
        <v>0.666666666666667</v>
      </c>
    </row>
    <row r="3" spans="1:11">
      <c r="A3" s="15">
        <v>2</v>
      </c>
      <c r="B3" s="27"/>
      <c r="C3" s="25" t="s">
        <v>13</v>
      </c>
      <c r="D3" s="26">
        <v>101</v>
      </c>
      <c r="E3" s="7">
        <v>3</v>
      </c>
      <c r="F3" s="8">
        <v>1</v>
      </c>
      <c r="G3" s="9">
        <v>0.666666666666667</v>
      </c>
      <c r="H3" s="8">
        <f t="shared" ref="H3:H43" si="0">2*F3*G3/(F3+G3)</f>
        <v>0.8</v>
      </c>
      <c r="I3" s="8">
        <v>1</v>
      </c>
      <c r="J3" s="9">
        <v>0.666666666666667</v>
      </c>
      <c r="K3" s="8">
        <f t="shared" ref="K3:K43" si="1">2*I3*J3/(I3+J3)</f>
        <v>0.8</v>
      </c>
    </row>
    <row r="4" spans="1:11">
      <c r="A4" s="15">
        <v>3</v>
      </c>
      <c r="B4" s="27"/>
      <c r="C4" s="25" t="s">
        <v>14</v>
      </c>
      <c r="D4" s="26">
        <v>102</v>
      </c>
      <c r="E4" s="7">
        <v>4</v>
      </c>
      <c r="F4" s="8">
        <v>1</v>
      </c>
      <c r="G4" s="9">
        <v>0.75</v>
      </c>
      <c r="H4" s="8">
        <f t="shared" si="0"/>
        <v>0.857142857142857</v>
      </c>
      <c r="I4" s="8">
        <v>1</v>
      </c>
      <c r="J4" s="9">
        <v>0.625</v>
      </c>
      <c r="K4" s="8">
        <f t="shared" si="1"/>
        <v>0.769230769230769</v>
      </c>
    </row>
    <row r="5" spans="1:11">
      <c r="A5" s="15">
        <v>4</v>
      </c>
      <c r="B5" s="27"/>
      <c r="C5" s="28" t="s">
        <v>15</v>
      </c>
      <c r="D5" s="26" t="s">
        <v>16</v>
      </c>
      <c r="E5" s="7">
        <v>4</v>
      </c>
      <c r="F5" s="8">
        <v>1</v>
      </c>
      <c r="G5" s="9">
        <v>0.875</v>
      </c>
      <c r="H5" s="8">
        <f t="shared" si="0"/>
        <v>0.933333333333333</v>
      </c>
      <c r="I5" s="8">
        <v>1</v>
      </c>
      <c r="J5" s="9">
        <v>0.75</v>
      </c>
      <c r="K5" s="8">
        <f t="shared" si="1"/>
        <v>0.857142857142857</v>
      </c>
    </row>
    <row r="6" spans="1:11">
      <c r="A6" s="15">
        <v>5</v>
      </c>
      <c r="B6" s="27"/>
      <c r="C6" s="25" t="s">
        <v>17</v>
      </c>
      <c r="D6" s="26" t="s">
        <v>18</v>
      </c>
      <c r="E6" s="7">
        <v>3</v>
      </c>
      <c r="F6" s="8">
        <v>1</v>
      </c>
      <c r="G6" s="9">
        <v>0.833333333333333</v>
      </c>
      <c r="H6" s="8">
        <f t="shared" si="0"/>
        <v>0.909090909090909</v>
      </c>
      <c r="I6" s="8">
        <v>0.5</v>
      </c>
      <c r="J6" s="9">
        <v>0.5</v>
      </c>
      <c r="K6" s="8">
        <f t="shared" si="1"/>
        <v>0.5</v>
      </c>
    </row>
    <row r="7" ht="13.9" spans="1:11">
      <c r="A7" s="15">
        <v>6</v>
      </c>
      <c r="B7" s="29"/>
      <c r="C7" s="28" t="s">
        <v>19</v>
      </c>
      <c r="D7" s="26">
        <v>108</v>
      </c>
      <c r="E7" s="7">
        <v>3</v>
      </c>
      <c r="F7" s="8">
        <v>1</v>
      </c>
      <c r="G7" s="9">
        <v>0.5</v>
      </c>
      <c r="H7" s="8">
        <f t="shared" si="0"/>
        <v>0.666666666666667</v>
      </c>
      <c r="I7" s="8">
        <v>1</v>
      </c>
      <c r="J7" s="9">
        <v>0.5</v>
      </c>
      <c r="K7" s="8">
        <f t="shared" si="1"/>
        <v>0.666666666666667</v>
      </c>
    </row>
    <row r="8" spans="1:11">
      <c r="A8" s="15">
        <v>7</v>
      </c>
      <c r="B8" s="30" t="s">
        <v>20</v>
      </c>
      <c r="C8" s="31" t="s">
        <v>21</v>
      </c>
      <c r="D8" s="32">
        <v>201</v>
      </c>
      <c r="E8" s="7">
        <v>4</v>
      </c>
      <c r="F8" s="8">
        <v>1</v>
      </c>
      <c r="G8" s="9">
        <v>0.875</v>
      </c>
      <c r="H8" s="8">
        <f t="shared" si="0"/>
        <v>0.933333333333333</v>
      </c>
      <c r="I8" s="8">
        <v>1</v>
      </c>
      <c r="J8" s="9">
        <v>0.625</v>
      </c>
      <c r="K8" s="8">
        <f t="shared" si="1"/>
        <v>0.769230769230769</v>
      </c>
    </row>
    <row r="9" spans="1:11">
      <c r="A9" s="15">
        <v>8</v>
      </c>
      <c r="B9" s="33"/>
      <c r="C9" s="31" t="s">
        <v>22</v>
      </c>
      <c r="D9" s="32">
        <v>204</v>
      </c>
      <c r="E9" s="7">
        <v>4</v>
      </c>
      <c r="F9" s="8">
        <v>1</v>
      </c>
      <c r="G9" s="9">
        <v>0.75</v>
      </c>
      <c r="H9" s="8">
        <f t="shared" si="0"/>
        <v>0.857142857142857</v>
      </c>
      <c r="I9" s="8">
        <v>1</v>
      </c>
      <c r="J9" s="9">
        <v>0.5</v>
      </c>
      <c r="K9" s="8">
        <f t="shared" si="1"/>
        <v>0.666666666666667</v>
      </c>
    </row>
    <row r="10" spans="1:11">
      <c r="A10" s="15">
        <v>9</v>
      </c>
      <c r="B10" s="33"/>
      <c r="C10" s="31" t="s">
        <v>23</v>
      </c>
      <c r="D10" s="32" t="s">
        <v>24</v>
      </c>
      <c r="E10" s="7">
        <v>2</v>
      </c>
      <c r="F10" s="8">
        <v>0.5</v>
      </c>
      <c r="G10" s="9">
        <v>0.75</v>
      </c>
      <c r="H10" s="8">
        <f t="shared" si="0"/>
        <v>0.6</v>
      </c>
      <c r="I10" s="8">
        <v>1</v>
      </c>
      <c r="J10" s="9">
        <v>1</v>
      </c>
      <c r="K10" s="8">
        <f t="shared" si="1"/>
        <v>1</v>
      </c>
    </row>
    <row r="11" ht="25.9" spans="1:11">
      <c r="A11" s="15">
        <v>10</v>
      </c>
      <c r="B11" s="33"/>
      <c r="C11" s="31" t="s">
        <v>25</v>
      </c>
      <c r="D11" s="32" t="s">
        <v>26</v>
      </c>
      <c r="E11" s="7">
        <v>2</v>
      </c>
      <c r="F11" s="8">
        <v>0.5</v>
      </c>
      <c r="G11" s="9">
        <v>0.75</v>
      </c>
      <c r="H11" s="8">
        <f t="shared" si="0"/>
        <v>0.6</v>
      </c>
      <c r="I11" s="8">
        <v>1</v>
      </c>
      <c r="J11" s="9">
        <v>1</v>
      </c>
      <c r="K11" s="8">
        <f t="shared" si="1"/>
        <v>1</v>
      </c>
    </row>
    <row r="12" spans="1:11">
      <c r="A12" s="15">
        <v>11</v>
      </c>
      <c r="B12" s="33"/>
      <c r="C12" s="31" t="s">
        <v>27</v>
      </c>
      <c r="D12" s="32" t="s">
        <v>24</v>
      </c>
      <c r="E12" s="7">
        <v>4</v>
      </c>
      <c r="F12" s="8">
        <v>1</v>
      </c>
      <c r="G12" s="9">
        <v>0.75</v>
      </c>
      <c r="H12" s="8">
        <f t="shared" si="0"/>
        <v>0.857142857142857</v>
      </c>
      <c r="I12" s="8">
        <v>1</v>
      </c>
      <c r="J12" s="9">
        <v>0.5</v>
      </c>
      <c r="K12" s="8">
        <f t="shared" si="1"/>
        <v>0.666666666666667</v>
      </c>
    </row>
    <row r="13" spans="1:11">
      <c r="A13" s="15">
        <v>12</v>
      </c>
      <c r="B13" s="34"/>
      <c r="C13" s="31" t="s">
        <v>28</v>
      </c>
      <c r="D13" s="32">
        <v>204</v>
      </c>
      <c r="E13" s="7">
        <v>2</v>
      </c>
      <c r="F13" s="8">
        <v>1</v>
      </c>
      <c r="G13" s="9">
        <v>0.5</v>
      </c>
      <c r="H13" s="8">
        <f t="shared" si="0"/>
        <v>0.666666666666667</v>
      </c>
      <c r="I13" s="8">
        <v>1</v>
      </c>
      <c r="J13" s="9">
        <v>0.75</v>
      </c>
      <c r="K13" s="8">
        <f t="shared" si="1"/>
        <v>0.857142857142857</v>
      </c>
    </row>
    <row r="14" spans="1:11">
      <c r="A14" s="15">
        <v>13</v>
      </c>
      <c r="B14" s="24" t="s">
        <v>29</v>
      </c>
      <c r="C14" s="25" t="s">
        <v>30</v>
      </c>
      <c r="D14" s="26">
        <v>305</v>
      </c>
      <c r="E14" s="7">
        <v>2</v>
      </c>
      <c r="F14" s="8">
        <v>1</v>
      </c>
      <c r="G14" s="9">
        <v>0.75</v>
      </c>
      <c r="H14" s="8">
        <f t="shared" si="0"/>
        <v>0.857142857142857</v>
      </c>
      <c r="I14" s="8">
        <v>1</v>
      </c>
      <c r="J14" s="9">
        <v>0.75</v>
      </c>
      <c r="K14" s="8">
        <f t="shared" si="1"/>
        <v>0.857142857142857</v>
      </c>
    </row>
    <row r="15" spans="1:11">
      <c r="A15" s="15">
        <v>14</v>
      </c>
      <c r="B15" s="27"/>
      <c r="C15" s="25" t="s">
        <v>31</v>
      </c>
      <c r="D15" s="26" t="s">
        <v>32</v>
      </c>
      <c r="E15" s="7">
        <v>2</v>
      </c>
      <c r="F15" s="8">
        <v>1</v>
      </c>
      <c r="G15" s="9">
        <v>1</v>
      </c>
      <c r="H15" s="8">
        <f t="shared" si="0"/>
        <v>1</v>
      </c>
      <c r="I15" s="8">
        <v>0.5</v>
      </c>
      <c r="J15" s="9">
        <v>0.5</v>
      </c>
      <c r="K15" s="8">
        <f t="shared" si="1"/>
        <v>0.5</v>
      </c>
    </row>
    <row r="16" spans="1:11">
      <c r="A16" s="15">
        <v>15</v>
      </c>
      <c r="B16" s="27"/>
      <c r="C16" s="25" t="s">
        <v>33</v>
      </c>
      <c r="D16" s="26" t="s">
        <v>34</v>
      </c>
      <c r="E16" s="7">
        <v>3</v>
      </c>
      <c r="F16" s="8">
        <v>0.67</v>
      </c>
      <c r="G16" s="9">
        <v>0.666666666666667</v>
      </c>
      <c r="H16" s="8">
        <f t="shared" si="0"/>
        <v>0.668329177057357</v>
      </c>
      <c r="I16" s="8">
        <v>1</v>
      </c>
      <c r="J16" s="9">
        <v>1</v>
      </c>
      <c r="K16" s="8">
        <f t="shared" si="1"/>
        <v>1</v>
      </c>
    </row>
    <row r="17" spans="1:11">
      <c r="A17" s="15">
        <v>16</v>
      </c>
      <c r="B17" s="27"/>
      <c r="C17" s="25" t="s">
        <v>35</v>
      </c>
      <c r="D17" s="26">
        <v>301</v>
      </c>
      <c r="E17" s="7">
        <v>2</v>
      </c>
      <c r="F17" s="8">
        <v>1</v>
      </c>
      <c r="G17" s="9">
        <v>0.75</v>
      </c>
      <c r="H17" s="8">
        <f t="shared" si="0"/>
        <v>0.857142857142857</v>
      </c>
      <c r="I17" s="8">
        <v>1</v>
      </c>
      <c r="J17" s="9">
        <v>0.75</v>
      </c>
      <c r="K17" s="8">
        <f t="shared" si="1"/>
        <v>0.857142857142857</v>
      </c>
    </row>
    <row r="18" ht="25.5" spans="1:11">
      <c r="A18" s="15">
        <v>17</v>
      </c>
      <c r="B18" s="27"/>
      <c r="C18" s="25" t="s">
        <v>36</v>
      </c>
      <c r="D18" s="26">
        <v>308</v>
      </c>
      <c r="E18" s="7">
        <v>3</v>
      </c>
      <c r="F18" s="8">
        <v>1</v>
      </c>
      <c r="G18" s="9">
        <v>0.5</v>
      </c>
      <c r="H18" s="8">
        <f t="shared" si="0"/>
        <v>0.666666666666667</v>
      </c>
      <c r="I18" s="8">
        <v>1</v>
      </c>
      <c r="J18" s="9">
        <v>0.666666666666667</v>
      </c>
      <c r="K18" s="8">
        <f t="shared" si="1"/>
        <v>0.8</v>
      </c>
    </row>
    <row r="19" ht="13.9" spans="1:11">
      <c r="A19" s="15">
        <v>18</v>
      </c>
      <c r="B19" s="29"/>
      <c r="C19" s="25" t="s">
        <v>37</v>
      </c>
      <c r="D19" s="26" t="s">
        <v>38</v>
      </c>
      <c r="E19" s="7">
        <v>3</v>
      </c>
      <c r="F19" s="8">
        <v>1</v>
      </c>
      <c r="G19" s="9">
        <v>1</v>
      </c>
      <c r="H19" s="8">
        <f t="shared" si="0"/>
        <v>1</v>
      </c>
      <c r="I19" s="8">
        <v>1</v>
      </c>
      <c r="J19" s="9">
        <v>1</v>
      </c>
      <c r="K19" s="8">
        <f t="shared" si="1"/>
        <v>1</v>
      </c>
    </row>
    <row r="20" ht="25.5" spans="1:11">
      <c r="A20" s="15">
        <v>19</v>
      </c>
      <c r="B20" s="30" t="s">
        <v>39</v>
      </c>
      <c r="C20" s="31" t="s">
        <v>40</v>
      </c>
      <c r="D20" s="32">
        <v>404</v>
      </c>
      <c r="E20" s="7">
        <v>3</v>
      </c>
      <c r="F20" s="8">
        <v>1</v>
      </c>
      <c r="G20" s="9">
        <v>0.666666666666667</v>
      </c>
      <c r="H20" s="8">
        <f t="shared" si="0"/>
        <v>0.8</v>
      </c>
      <c r="I20" s="8">
        <v>1</v>
      </c>
      <c r="J20" s="9">
        <v>0.333333333333333</v>
      </c>
      <c r="K20" s="8">
        <f t="shared" si="1"/>
        <v>0.5</v>
      </c>
    </row>
    <row r="21" ht="25.5" spans="1:11">
      <c r="A21" s="15">
        <v>20</v>
      </c>
      <c r="B21" s="33"/>
      <c r="C21" s="31" t="s">
        <v>41</v>
      </c>
      <c r="D21" s="32" t="s">
        <v>42</v>
      </c>
      <c r="E21" s="7">
        <v>4</v>
      </c>
      <c r="F21" s="8">
        <v>1</v>
      </c>
      <c r="G21" s="9">
        <v>0.75</v>
      </c>
      <c r="H21" s="8">
        <f t="shared" si="0"/>
        <v>0.857142857142857</v>
      </c>
      <c r="I21" s="8">
        <v>0.5</v>
      </c>
      <c r="J21" s="9">
        <v>0.375</v>
      </c>
      <c r="K21" s="8">
        <f t="shared" si="1"/>
        <v>0.428571428571429</v>
      </c>
    </row>
    <row r="22" ht="25.9" spans="1:11">
      <c r="A22" s="15">
        <v>21</v>
      </c>
      <c r="B22" s="33"/>
      <c r="C22" s="31" t="s">
        <v>43</v>
      </c>
      <c r="D22" s="32" t="s">
        <v>44</v>
      </c>
      <c r="E22" s="7">
        <v>4</v>
      </c>
      <c r="F22" s="8">
        <v>1</v>
      </c>
      <c r="G22" s="9">
        <v>1</v>
      </c>
      <c r="H22" s="8">
        <f t="shared" si="0"/>
        <v>1</v>
      </c>
      <c r="I22" s="8">
        <v>1</v>
      </c>
      <c r="J22" s="9">
        <v>1</v>
      </c>
      <c r="K22" s="8">
        <f t="shared" si="1"/>
        <v>1</v>
      </c>
    </row>
    <row r="23" ht="25.5" spans="1:11">
      <c r="A23" s="15">
        <v>22</v>
      </c>
      <c r="B23" s="33"/>
      <c r="C23" s="31" t="s">
        <v>45</v>
      </c>
      <c r="D23" s="32">
        <v>402</v>
      </c>
      <c r="E23" s="7">
        <v>4</v>
      </c>
      <c r="F23" s="8">
        <v>1</v>
      </c>
      <c r="G23" s="9">
        <v>0.75</v>
      </c>
      <c r="H23" s="8">
        <f t="shared" si="0"/>
        <v>0.857142857142857</v>
      </c>
      <c r="I23" s="8">
        <v>1</v>
      </c>
      <c r="J23" s="9">
        <v>0.5</v>
      </c>
      <c r="K23" s="8">
        <f t="shared" si="1"/>
        <v>0.666666666666667</v>
      </c>
    </row>
    <row r="24" spans="1:11">
      <c r="A24" s="15">
        <v>23</v>
      </c>
      <c r="B24" s="33"/>
      <c r="C24" s="31" t="s">
        <v>46</v>
      </c>
      <c r="D24" s="32">
        <v>402</v>
      </c>
      <c r="E24" s="7">
        <v>3</v>
      </c>
      <c r="F24" s="8">
        <v>1</v>
      </c>
      <c r="G24" s="9">
        <v>0.833333333333333</v>
      </c>
      <c r="H24" s="8">
        <f t="shared" si="0"/>
        <v>0.909090909090909</v>
      </c>
      <c r="I24" s="8">
        <v>1</v>
      </c>
      <c r="J24" s="9">
        <v>0.5</v>
      </c>
      <c r="K24" s="8">
        <f t="shared" si="1"/>
        <v>0.666666666666667</v>
      </c>
    </row>
    <row r="25" ht="13.9" spans="1:11">
      <c r="A25" s="15">
        <v>24</v>
      </c>
      <c r="B25" s="34"/>
      <c r="C25" s="31" t="s">
        <v>47</v>
      </c>
      <c r="D25" s="32">
        <v>405</v>
      </c>
      <c r="E25" s="7">
        <v>3</v>
      </c>
      <c r="F25" s="8">
        <v>1</v>
      </c>
      <c r="G25" s="9">
        <v>0.5</v>
      </c>
      <c r="H25" s="8">
        <f t="shared" si="0"/>
        <v>0.666666666666667</v>
      </c>
      <c r="I25" s="8">
        <v>1</v>
      </c>
      <c r="J25" s="9">
        <v>0.5</v>
      </c>
      <c r="K25" s="8">
        <f t="shared" si="1"/>
        <v>0.666666666666667</v>
      </c>
    </row>
    <row r="26" spans="1:11">
      <c r="A26" s="15">
        <v>25</v>
      </c>
      <c r="B26" s="24" t="s">
        <v>48</v>
      </c>
      <c r="C26" s="25" t="s">
        <v>49</v>
      </c>
      <c r="D26" s="26" t="s">
        <v>50</v>
      </c>
      <c r="E26" s="7">
        <v>2</v>
      </c>
      <c r="F26" s="8">
        <v>1</v>
      </c>
      <c r="G26" s="9">
        <v>1</v>
      </c>
      <c r="H26" s="8">
        <f t="shared" si="0"/>
        <v>1</v>
      </c>
      <c r="I26" s="8">
        <v>1</v>
      </c>
      <c r="J26" s="9">
        <v>1</v>
      </c>
      <c r="K26" s="8">
        <f t="shared" si="1"/>
        <v>1</v>
      </c>
    </row>
    <row r="27" ht="25.5" spans="1:11">
      <c r="A27" s="15">
        <v>26</v>
      </c>
      <c r="B27" s="27"/>
      <c r="C27" s="25" t="s">
        <v>51</v>
      </c>
      <c r="D27" s="26">
        <v>503</v>
      </c>
      <c r="E27" s="7">
        <v>1</v>
      </c>
      <c r="F27" s="8">
        <v>1</v>
      </c>
      <c r="G27" s="9">
        <v>1</v>
      </c>
      <c r="H27" s="8">
        <f t="shared" si="0"/>
        <v>1</v>
      </c>
      <c r="I27" s="8">
        <v>0</v>
      </c>
      <c r="J27" s="9">
        <v>0</v>
      </c>
      <c r="K27" s="8">
        <v>0</v>
      </c>
    </row>
    <row r="28" ht="25.5" spans="1:11">
      <c r="A28" s="15">
        <v>27</v>
      </c>
      <c r="B28" s="27"/>
      <c r="C28" s="25" t="s">
        <v>52</v>
      </c>
      <c r="D28" s="26">
        <v>505</v>
      </c>
      <c r="E28" s="7">
        <v>1</v>
      </c>
      <c r="F28" s="8">
        <v>1</v>
      </c>
      <c r="G28" s="9">
        <v>1</v>
      </c>
      <c r="H28" s="8">
        <f t="shared" si="0"/>
        <v>1</v>
      </c>
      <c r="I28" s="8">
        <v>1</v>
      </c>
      <c r="J28" s="9">
        <v>1</v>
      </c>
      <c r="K28" s="8">
        <f t="shared" si="1"/>
        <v>1</v>
      </c>
    </row>
    <row r="29" ht="25.5" spans="1:11">
      <c r="A29" s="15">
        <v>28</v>
      </c>
      <c r="B29" s="27"/>
      <c r="C29" s="25" t="s">
        <v>53</v>
      </c>
      <c r="D29" s="26">
        <v>508</v>
      </c>
      <c r="E29" s="7">
        <v>2</v>
      </c>
      <c r="F29" s="8">
        <v>1</v>
      </c>
      <c r="G29" s="9">
        <v>0.75</v>
      </c>
      <c r="H29" s="8">
        <f t="shared" si="0"/>
        <v>0.857142857142857</v>
      </c>
      <c r="I29" s="8">
        <v>1</v>
      </c>
      <c r="J29" s="9">
        <v>0.75</v>
      </c>
      <c r="K29" s="8">
        <f t="shared" si="1"/>
        <v>0.857142857142857</v>
      </c>
    </row>
    <row r="30" ht="25.5" spans="1:11">
      <c r="A30" s="15">
        <v>29</v>
      </c>
      <c r="B30" s="27"/>
      <c r="C30" s="25" t="s">
        <v>54</v>
      </c>
      <c r="D30" s="26" t="s">
        <v>55</v>
      </c>
      <c r="E30" s="7">
        <v>3</v>
      </c>
      <c r="F30" s="8">
        <v>1</v>
      </c>
      <c r="G30" s="9">
        <v>0.833333333333333</v>
      </c>
      <c r="H30" s="8">
        <f t="shared" si="0"/>
        <v>0.909090909090909</v>
      </c>
      <c r="I30" s="8">
        <v>0.5</v>
      </c>
      <c r="J30" s="9">
        <v>0.5</v>
      </c>
      <c r="K30" s="8">
        <f t="shared" si="1"/>
        <v>0.5</v>
      </c>
    </row>
    <row r="31" ht="13.9" spans="1:11">
      <c r="A31" s="15">
        <v>30</v>
      </c>
      <c r="B31" s="29"/>
      <c r="C31" s="25" t="s">
        <v>56</v>
      </c>
      <c r="D31" s="26" t="s">
        <v>57</v>
      </c>
      <c r="E31" s="7">
        <v>6</v>
      </c>
      <c r="F31" s="8">
        <v>0.6</v>
      </c>
      <c r="G31" s="9">
        <v>0.666666666666667</v>
      </c>
      <c r="H31" s="8">
        <f t="shared" si="0"/>
        <v>0.631578947368421</v>
      </c>
      <c r="I31" s="8">
        <v>0.6</v>
      </c>
      <c r="J31" s="9">
        <v>0.666666666666667</v>
      </c>
      <c r="K31" s="8">
        <f t="shared" si="1"/>
        <v>0.631578947368421</v>
      </c>
    </row>
    <row r="32" spans="1:11">
      <c r="A32" s="15">
        <v>31</v>
      </c>
      <c r="B32" s="30" t="s">
        <v>58</v>
      </c>
      <c r="C32" s="31" t="s">
        <v>59</v>
      </c>
      <c r="D32" s="32">
        <v>601</v>
      </c>
      <c r="E32" s="7">
        <v>2</v>
      </c>
      <c r="F32" s="8">
        <v>1</v>
      </c>
      <c r="G32" s="9">
        <v>0.75</v>
      </c>
      <c r="H32" s="8">
        <f t="shared" si="0"/>
        <v>0.857142857142857</v>
      </c>
      <c r="I32" s="8">
        <v>1</v>
      </c>
      <c r="J32" s="9">
        <v>0.75</v>
      </c>
      <c r="K32" s="8">
        <f t="shared" si="1"/>
        <v>0.857142857142857</v>
      </c>
    </row>
    <row r="33" spans="1:11">
      <c r="A33" s="16">
        <v>32</v>
      </c>
      <c r="B33" s="33"/>
      <c r="C33" s="31" t="s">
        <v>60</v>
      </c>
      <c r="D33" s="32" t="s">
        <v>61</v>
      </c>
      <c r="E33" s="7">
        <v>1</v>
      </c>
      <c r="F33" s="8">
        <v>0.5</v>
      </c>
      <c r="G33" s="9">
        <v>1</v>
      </c>
      <c r="H33" s="8">
        <f t="shared" si="0"/>
        <v>0.666666666666667</v>
      </c>
      <c r="I33" s="8">
        <v>0</v>
      </c>
      <c r="J33" s="9">
        <v>0</v>
      </c>
      <c r="K33" s="8">
        <v>0</v>
      </c>
    </row>
    <row r="34" spans="1:11">
      <c r="A34" s="15">
        <v>33</v>
      </c>
      <c r="B34" s="33"/>
      <c r="C34" s="31" t="s">
        <v>62</v>
      </c>
      <c r="D34" s="32">
        <v>602</v>
      </c>
      <c r="E34" s="7">
        <v>1</v>
      </c>
      <c r="F34" s="8">
        <v>1</v>
      </c>
      <c r="G34" s="9">
        <v>1</v>
      </c>
      <c r="H34" s="8">
        <f t="shared" si="0"/>
        <v>1</v>
      </c>
      <c r="I34" s="8">
        <v>1</v>
      </c>
      <c r="J34" s="9">
        <v>1</v>
      </c>
      <c r="K34" s="8">
        <f t="shared" si="1"/>
        <v>1</v>
      </c>
    </row>
    <row r="35" ht="25.5" spans="1:11">
      <c r="A35" s="15">
        <v>34</v>
      </c>
      <c r="B35" s="33"/>
      <c r="C35" s="31" t="s">
        <v>63</v>
      </c>
      <c r="D35" s="32" t="s">
        <v>64</v>
      </c>
      <c r="E35" s="7">
        <v>3</v>
      </c>
      <c r="F35" s="8">
        <v>1</v>
      </c>
      <c r="G35" s="9">
        <v>0.666666666666667</v>
      </c>
      <c r="H35" s="8">
        <f t="shared" si="0"/>
        <v>0.8</v>
      </c>
      <c r="I35" s="8">
        <v>1</v>
      </c>
      <c r="J35" s="9">
        <v>0.666666666666667</v>
      </c>
      <c r="K35" s="8">
        <f t="shared" si="1"/>
        <v>0.8</v>
      </c>
    </row>
    <row r="36" spans="1:11">
      <c r="A36" s="15">
        <v>35</v>
      </c>
      <c r="B36" s="33"/>
      <c r="C36" s="31" t="s">
        <v>65</v>
      </c>
      <c r="D36" s="32">
        <v>604</v>
      </c>
      <c r="E36" s="7">
        <v>1</v>
      </c>
      <c r="F36" s="8">
        <v>1</v>
      </c>
      <c r="G36" s="9">
        <v>1</v>
      </c>
      <c r="H36" s="8">
        <f t="shared" si="0"/>
        <v>1</v>
      </c>
      <c r="I36" s="8">
        <v>1</v>
      </c>
      <c r="J36" s="9">
        <v>1</v>
      </c>
      <c r="K36" s="8">
        <f t="shared" si="1"/>
        <v>1</v>
      </c>
    </row>
    <row r="37" ht="26.25" spans="1:11">
      <c r="A37" s="15">
        <v>36</v>
      </c>
      <c r="B37" s="34"/>
      <c r="C37" s="31" t="s">
        <v>66</v>
      </c>
      <c r="D37" s="32" t="s">
        <v>64</v>
      </c>
      <c r="E37" s="7">
        <v>2</v>
      </c>
      <c r="F37" s="8">
        <v>1</v>
      </c>
      <c r="G37" s="9">
        <v>1</v>
      </c>
      <c r="H37" s="8">
        <f t="shared" si="0"/>
        <v>1</v>
      </c>
      <c r="I37" s="8">
        <v>0</v>
      </c>
      <c r="J37" s="9">
        <v>0</v>
      </c>
      <c r="K37" s="8">
        <v>0</v>
      </c>
    </row>
    <row r="38" spans="1:11">
      <c r="A38" s="15">
        <v>37</v>
      </c>
      <c r="B38" s="24" t="s">
        <v>67</v>
      </c>
      <c r="C38" s="25" t="s">
        <v>68</v>
      </c>
      <c r="D38" s="26">
        <v>701</v>
      </c>
      <c r="E38" s="7">
        <v>2</v>
      </c>
      <c r="F38" s="8">
        <v>1</v>
      </c>
      <c r="G38" s="9">
        <v>0.5</v>
      </c>
      <c r="H38" s="8">
        <f t="shared" si="0"/>
        <v>0.666666666666667</v>
      </c>
      <c r="I38" s="8">
        <v>1</v>
      </c>
      <c r="J38" s="9">
        <v>0.5</v>
      </c>
      <c r="K38" s="8">
        <f t="shared" si="1"/>
        <v>0.666666666666667</v>
      </c>
    </row>
    <row r="39" spans="1:11">
      <c r="A39" s="15">
        <v>38</v>
      </c>
      <c r="B39" s="27"/>
      <c r="C39" s="25" t="s">
        <v>69</v>
      </c>
      <c r="D39" s="26">
        <v>703</v>
      </c>
      <c r="E39" s="7">
        <v>2</v>
      </c>
      <c r="F39" s="8">
        <v>1</v>
      </c>
      <c r="G39" s="9">
        <v>0.5</v>
      </c>
      <c r="H39" s="8">
        <f t="shared" si="0"/>
        <v>0.666666666666667</v>
      </c>
      <c r="I39" s="8">
        <v>1</v>
      </c>
      <c r="J39" s="9">
        <v>0.5</v>
      </c>
      <c r="K39" s="8">
        <f t="shared" si="1"/>
        <v>0.666666666666667</v>
      </c>
    </row>
    <row r="40" spans="1:11">
      <c r="A40" s="15">
        <v>39</v>
      </c>
      <c r="B40" s="27"/>
      <c r="C40" s="25" t="s">
        <v>70</v>
      </c>
      <c r="D40" s="26">
        <v>704</v>
      </c>
      <c r="E40" s="7">
        <v>2</v>
      </c>
      <c r="F40" s="8">
        <v>1</v>
      </c>
      <c r="G40" s="9">
        <v>0.5</v>
      </c>
      <c r="H40" s="8">
        <f t="shared" si="0"/>
        <v>0.666666666666667</v>
      </c>
      <c r="I40" s="8">
        <v>1</v>
      </c>
      <c r="J40" s="9">
        <v>0.5</v>
      </c>
      <c r="K40" s="8">
        <f t="shared" si="1"/>
        <v>0.666666666666667</v>
      </c>
    </row>
    <row r="41" spans="1:11">
      <c r="A41" s="15">
        <v>40</v>
      </c>
      <c r="B41" s="27"/>
      <c r="C41" s="25" t="s">
        <v>71</v>
      </c>
      <c r="D41" s="26">
        <v>707</v>
      </c>
      <c r="E41" s="7">
        <v>3</v>
      </c>
      <c r="F41" s="8">
        <v>1</v>
      </c>
      <c r="G41" s="9">
        <v>0.333333333333333</v>
      </c>
      <c r="H41" s="8">
        <f t="shared" si="0"/>
        <v>0.5</v>
      </c>
      <c r="I41" s="8">
        <v>1</v>
      </c>
      <c r="J41" s="9">
        <v>0.333333333333333</v>
      </c>
      <c r="K41" s="8">
        <f t="shared" si="1"/>
        <v>0.5</v>
      </c>
    </row>
    <row r="42" spans="1:11">
      <c r="A42" s="15">
        <v>41</v>
      </c>
      <c r="B42" s="27"/>
      <c r="C42" s="25" t="s">
        <v>72</v>
      </c>
      <c r="D42" s="26">
        <v>702</v>
      </c>
      <c r="E42" s="7">
        <v>4</v>
      </c>
      <c r="F42" s="8">
        <v>1</v>
      </c>
      <c r="G42" s="9">
        <v>0.5</v>
      </c>
      <c r="H42" s="8">
        <f t="shared" si="0"/>
        <v>0.666666666666667</v>
      </c>
      <c r="I42" s="8">
        <v>0</v>
      </c>
      <c r="J42" s="9">
        <v>0</v>
      </c>
      <c r="K42" s="8">
        <v>0</v>
      </c>
    </row>
    <row r="43" spans="1:11">
      <c r="A43" s="15">
        <v>42</v>
      </c>
      <c r="B43" s="29"/>
      <c r="C43" s="25" t="s">
        <v>73</v>
      </c>
      <c r="D43" s="26">
        <v>706</v>
      </c>
      <c r="E43" s="7">
        <v>2</v>
      </c>
      <c r="F43" s="8">
        <v>1</v>
      </c>
      <c r="G43" s="9">
        <v>0.75</v>
      </c>
      <c r="H43" s="8">
        <f t="shared" si="0"/>
        <v>0.857142857142857</v>
      </c>
      <c r="I43" s="8">
        <v>1</v>
      </c>
      <c r="J43" s="9">
        <v>0.5</v>
      </c>
      <c r="K43" s="8">
        <f t="shared" si="1"/>
        <v>0.666666666666667</v>
      </c>
    </row>
  </sheetData>
  <mergeCells count="7">
    <mergeCell ref="B2:B7"/>
    <mergeCell ref="B8:B13"/>
    <mergeCell ref="B14:B19"/>
    <mergeCell ref="B20:B25"/>
    <mergeCell ref="B26:B31"/>
    <mergeCell ref="B32:B37"/>
    <mergeCell ref="B38:B4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5"/>
  <sheetViews>
    <sheetView workbookViewId="0">
      <selection activeCell="C5" sqref="C2:C43"/>
    </sheetView>
  </sheetViews>
  <sheetFormatPr defaultColWidth="9.02654867256637" defaultRowHeight="13.85" outlineLevelCol="6"/>
  <cols>
    <col min="1" max="1" width="9.02654867256637" style="6"/>
    <col min="2" max="3" width="13.8141592920354" style="7" customWidth="1"/>
    <col min="4" max="4" width="12.8761061946903" style="7" customWidth="1"/>
    <col min="5" max="5" width="13.0176991150442" style="8" customWidth="1"/>
    <col min="6" max="6" width="14.283185840708" style="9" customWidth="1"/>
    <col min="7" max="7" width="9.02654867256637" style="8"/>
  </cols>
  <sheetData>
    <row r="1" ht="13.5" spans="1:7">
      <c r="A1" s="10" t="s">
        <v>0</v>
      </c>
      <c r="B1" s="11" t="s">
        <v>74</v>
      </c>
      <c r="C1" s="12" t="s">
        <v>75</v>
      </c>
      <c r="D1" s="13" t="s">
        <v>4</v>
      </c>
      <c r="E1" s="13" t="s">
        <v>76</v>
      </c>
      <c r="F1" s="14" t="s">
        <v>77</v>
      </c>
      <c r="G1" s="13" t="s">
        <v>78</v>
      </c>
    </row>
    <row r="2" spans="1:7">
      <c r="A2" s="15">
        <v>1</v>
      </c>
      <c r="B2" s="7">
        <v>101</v>
      </c>
      <c r="C2" s="7">
        <v>0</v>
      </c>
      <c r="D2" s="7">
        <v>4</v>
      </c>
      <c r="E2" s="8">
        <v>1</v>
      </c>
      <c r="F2" s="9">
        <v>0.625</v>
      </c>
      <c r="G2" s="8">
        <f t="shared" ref="G2:G65" si="0">2*E2*F2/(E2+F2)</f>
        <v>0.769230769230769</v>
      </c>
    </row>
    <row r="3" spans="1:7">
      <c r="A3" s="15">
        <v>2</v>
      </c>
      <c r="B3" s="7">
        <v>101</v>
      </c>
      <c r="C3" s="7">
        <v>0</v>
      </c>
      <c r="D3" s="7">
        <v>3</v>
      </c>
      <c r="E3" s="8">
        <v>1</v>
      </c>
      <c r="F3" s="9">
        <v>0.666666666666667</v>
      </c>
      <c r="G3" s="8">
        <f t="shared" si="0"/>
        <v>0.8</v>
      </c>
    </row>
    <row r="4" spans="1:7">
      <c r="A4" s="15">
        <v>3</v>
      </c>
      <c r="B4" s="7">
        <v>102</v>
      </c>
      <c r="C4" s="7">
        <v>0</v>
      </c>
      <c r="D4" s="7">
        <v>4</v>
      </c>
      <c r="E4" s="8">
        <v>1</v>
      </c>
      <c r="F4" s="9">
        <v>0.75</v>
      </c>
      <c r="G4" s="8">
        <f t="shared" si="0"/>
        <v>0.857142857142857</v>
      </c>
    </row>
    <row r="5" ht="13.9" spans="1:7">
      <c r="A5" s="15">
        <v>4</v>
      </c>
      <c r="B5" s="7" t="s">
        <v>79</v>
      </c>
      <c r="C5" s="7">
        <v>1</v>
      </c>
      <c r="D5" s="7">
        <v>4</v>
      </c>
      <c r="E5" s="8">
        <v>1</v>
      </c>
      <c r="F5" s="9">
        <v>0.875</v>
      </c>
      <c r="G5" s="8">
        <f t="shared" si="0"/>
        <v>0.933333333333333</v>
      </c>
    </row>
    <row r="6" ht="13.9" spans="1:7">
      <c r="A6" s="15">
        <v>5</v>
      </c>
      <c r="B6" s="7" t="s">
        <v>80</v>
      </c>
      <c r="C6" s="7">
        <v>1</v>
      </c>
      <c r="D6" s="7">
        <v>3</v>
      </c>
      <c r="E6" s="8">
        <v>1</v>
      </c>
      <c r="F6" s="9">
        <v>0.833333333333333</v>
      </c>
      <c r="G6" s="8">
        <f t="shared" si="0"/>
        <v>0.909090909090909</v>
      </c>
    </row>
    <row r="7" spans="1:7">
      <c r="A7" s="15">
        <v>6</v>
      </c>
      <c r="B7" s="7">
        <v>108</v>
      </c>
      <c r="C7" s="7">
        <v>0</v>
      </c>
      <c r="D7" s="7">
        <v>3</v>
      </c>
      <c r="E7" s="8">
        <v>1</v>
      </c>
      <c r="F7" s="9">
        <v>0.5</v>
      </c>
      <c r="G7" s="8">
        <f t="shared" si="0"/>
        <v>0.666666666666667</v>
      </c>
    </row>
    <row r="8" spans="1:7">
      <c r="A8" s="15">
        <v>7</v>
      </c>
      <c r="B8" s="7">
        <v>201</v>
      </c>
      <c r="C8" s="7">
        <v>0</v>
      </c>
      <c r="D8" s="7">
        <v>4</v>
      </c>
      <c r="E8" s="8">
        <v>1</v>
      </c>
      <c r="F8" s="9">
        <v>0.875</v>
      </c>
      <c r="G8" s="8">
        <f t="shared" si="0"/>
        <v>0.933333333333333</v>
      </c>
    </row>
    <row r="9" spans="1:7">
      <c r="A9" s="15">
        <v>8</v>
      </c>
      <c r="B9" s="7">
        <v>204</v>
      </c>
      <c r="C9" s="7">
        <v>0</v>
      </c>
      <c r="D9" s="7">
        <v>4</v>
      </c>
      <c r="E9" s="8">
        <v>1</v>
      </c>
      <c r="F9" s="9">
        <v>0.75</v>
      </c>
      <c r="G9" s="8">
        <f t="shared" si="0"/>
        <v>0.857142857142857</v>
      </c>
    </row>
    <row r="10" ht="13.9" spans="1:7">
      <c r="A10" s="15">
        <v>9</v>
      </c>
      <c r="B10" s="7" t="s">
        <v>81</v>
      </c>
      <c r="C10" s="7">
        <v>1</v>
      </c>
      <c r="D10" s="7">
        <v>2</v>
      </c>
      <c r="E10" s="8">
        <v>0.5</v>
      </c>
      <c r="F10" s="9">
        <v>0.75</v>
      </c>
      <c r="G10" s="8">
        <f t="shared" si="0"/>
        <v>0.6</v>
      </c>
    </row>
    <row r="11" ht="13.9" spans="1:7">
      <c r="A11" s="15">
        <v>10</v>
      </c>
      <c r="B11" s="7" t="s">
        <v>82</v>
      </c>
      <c r="C11" s="7">
        <v>1</v>
      </c>
      <c r="D11" s="7">
        <v>2</v>
      </c>
      <c r="E11" s="8">
        <v>0.5</v>
      </c>
      <c r="F11" s="9">
        <v>0.75</v>
      </c>
      <c r="G11" s="8">
        <f t="shared" si="0"/>
        <v>0.6</v>
      </c>
    </row>
    <row r="12" ht="13.9" spans="1:7">
      <c r="A12" s="15">
        <v>11</v>
      </c>
      <c r="B12" s="7" t="s">
        <v>81</v>
      </c>
      <c r="C12" s="7">
        <v>1</v>
      </c>
      <c r="D12" s="7">
        <v>4</v>
      </c>
      <c r="E12" s="8">
        <v>1</v>
      </c>
      <c r="F12" s="9">
        <v>0.75</v>
      </c>
      <c r="G12" s="8">
        <f t="shared" si="0"/>
        <v>0.857142857142857</v>
      </c>
    </row>
    <row r="13" spans="1:7">
      <c r="A13" s="15">
        <v>12</v>
      </c>
      <c r="B13" s="7">
        <v>204</v>
      </c>
      <c r="C13" s="7">
        <v>0</v>
      </c>
      <c r="D13" s="7">
        <v>2</v>
      </c>
      <c r="E13" s="8">
        <v>1</v>
      </c>
      <c r="F13" s="9">
        <v>0.5</v>
      </c>
      <c r="G13" s="8">
        <f t="shared" si="0"/>
        <v>0.666666666666667</v>
      </c>
    </row>
    <row r="14" spans="1:7">
      <c r="A14" s="15">
        <v>13</v>
      </c>
      <c r="B14" s="7">
        <v>305</v>
      </c>
      <c r="C14" s="7">
        <v>0</v>
      </c>
      <c r="D14" s="7">
        <v>2</v>
      </c>
      <c r="E14" s="8">
        <v>1</v>
      </c>
      <c r="F14" s="9">
        <v>0.75</v>
      </c>
      <c r="G14" s="8">
        <f t="shared" si="0"/>
        <v>0.857142857142857</v>
      </c>
    </row>
    <row r="15" ht="13.9" spans="1:7">
      <c r="A15" s="15">
        <v>14</v>
      </c>
      <c r="B15" s="7" t="s">
        <v>83</v>
      </c>
      <c r="C15" s="7">
        <v>1</v>
      </c>
      <c r="D15" s="7">
        <v>2</v>
      </c>
      <c r="E15" s="8">
        <v>1</v>
      </c>
      <c r="F15" s="9">
        <v>1</v>
      </c>
      <c r="G15" s="8">
        <f t="shared" si="0"/>
        <v>1</v>
      </c>
    </row>
    <row r="16" ht="13.9" spans="1:7">
      <c r="A16" s="15">
        <v>15</v>
      </c>
      <c r="B16" s="7" t="s">
        <v>84</v>
      </c>
      <c r="C16" s="7">
        <v>1</v>
      </c>
      <c r="D16" s="7">
        <v>3</v>
      </c>
      <c r="E16" s="8">
        <v>0.67</v>
      </c>
      <c r="F16" s="9">
        <v>0.666666666666667</v>
      </c>
      <c r="G16" s="8">
        <f t="shared" si="0"/>
        <v>0.668329177057357</v>
      </c>
    </row>
    <row r="17" spans="1:7">
      <c r="A17" s="15">
        <v>16</v>
      </c>
      <c r="B17" s="7">
        <v>301</v>
      </c>
      <c r="C17" s="7">
        <v>0</v>
      </c>
      <c r="D17" s="7">
        <v>2</v>
      </c>
      <c r="E17" s="8">
        <v>1</v>
      </c>
      <c r="F17" s="9">
        <v>0.75</v>
      </c>
      <c r="G17" s="8">
        <f t="shared" si="0"/>
        <v>0.857142857142857</v>
      </c>
    </row>
    <row r="18" spans="1:7">
      <c r="A18" s="15">
        <v>17</v>
      </c>
      <c r="B18" s="7">
        <v>308</v>
      </c>
      <c r="C18" s="7">
        <v>0</v>
      </c>
      <c r="D18" s="7">
        <v>3</v>
      </c>
      <c r="E18" s="8">
        <v>1</v>
      </c>
      <c r="F18" s="9">
        <v>0.5</v>
      </c>
      <c r="G18" s="8">
        <f t="shared" si="0"/>
        <v>0.666666666666667</v>
      </c>
    </row>
    <row r="19" ht="13.9" spans="1:7">
      <c r="A19" s="15">
        <v>18</v>
      </c>
      <c r="B19" s="7" t="s">
        <v>85</v>
      </c>
      <c r="C19" s="7">
        <v>1</v>
      </c>
      <c r="D19" s="7">
        <v>3</v>
      </c>
      <c r="E19" s="8">
        <v>1</v>
      </c>
      <c r="F19" s="9">
        <v>1</v>
      </c>
      <c r="G19" s="8">
        <f t="shared" si="0"/>
        <v>1</v>
      </c>
    </row>
    <row r="20" spans="1:7">
      <c r="A20" s="15">
        <v>19</v>
      </c>
      <c r="B20" s="7">
        <v>404</v>
      </c>
      <c r="C20" s="7">
        <v>0</v>
      </c>
      <c r="D20" s="7">
        <v>3</v>
      </c>
      <c r="E20" s="8">
        <v>1</v>
      </c>
      <c r="F20" s="9">
        <v>0.666666666666667</v>
      </c>
      <c r="G20" s="8">
        <f t="shared" si="0"/>
        <v>0.8</v>
      </c>
    </row>
    <row r="21" ht="13.9" spans="1:7">
      <c r="A21" s="15">
        <v>20</v>
      </c>
      <c r="B21" s="7" t="s">
        <v>86</v>
      </c>
      <c r="C21" s="7">
        <v>1</v>
      </c>
      <c r="D21" s="7">
        <v>4</v>
      </c>
      <c r="E21" s="8">
        <v>1</v>
      </c>
      <c r="F21" s="9">
        <v>0.75</v>
      </c>
      <c r="G21" s="8">
        <f t="shared" si="0"/>
        <v>0.857142857142857</v>
      </c>
    </row>
    <row r="22" ht="13.9" spans="1:7">
      <c r="A22" s="15">
        <v>21</v>
      </c>
      <c r="B22" s="7" t="s">
        <v>87</v>
      </c>
      <c r="C22" s="7">
        <v>1</v>
      </c>
      <c r="D22" s="7">
        <v>4</v>
      </c>
      <c r="E22" s="8">
        <v>1</v>
      </c>
      <c r="F22" s="9">
        <v>1</v>
      </c>
      <c r="G22" s="8">
        <f t="shared" si="0"/>
        <v>1</v>
      </c>
    </row>
    <row r="23" spans="1:7">
      <c r="A23" s="15">
        <v>22</v>
      </c>
      <c r="B23" s="7">
        <v>402</v>
      </c>
      <c r="C23" s="7">
        <v>0</v>
      </c>
      <c r="D23" s="7">
        <v>4</v>
      </c>
      <c r="E23" s="8">
        <v>1</v>
      </c>
      <c r="F23" s="9">
        <v>0.75</v>
      </c>
      <c r="G23" s="8">
        <f t="shared" si="0"/>
        <v>0.857142857142857</v>
      </c>
    </row>
    <row r="24" spans="1:7">
      <c r="A24" s="15">
        <v>23</v>
      </c>
      <c r="B24" s="7">
        <v>402</v>
      </c>
      <c r="C24" s="7">
        <v>0</v>
      </c>
      <c r="D24" s="7">
        <v>3</v>
      </c>
      <c r="E24" s="8">
        <v>1</v>
      </c>
      <c r="F24" s="9">
        <v>0.833333333333333</v>
      </c>
      <c r="G24" s="8">
        <f t="shared" si="0"/>
        <v>0.909090909090909</v>
      </c>
    </row>
    <row r="25" spans="1:7">
      <c r="A25" s="15">
        <v>24</v>
      </c>
      <c r="B25" s="7">
        <v>405</v>
      </c>
      <c r="C25" s="7">
        <v>0</v>
      </c>
      <c r="D25" s="7">
        <v>3</v>
      </c>
      <c r="E25" s="8">
        <v>1</v>
      </c>
      <c r="F25" s="9">
        <v>0.5</v>
      </c>
      <c r="G25" s="8">
        <f t="shared" si="0"/>
        <v>0.666666666666667</v>
      </c>
    </row>
    <row r="26" ht="13.9" spans="1:7">
      <c r="A26" s="15">
        <v>25</v>
      </c>
      <c r="B26" s="7" t="s">
        <v>88</v>
      </c>
      <c r="C26" s="7">
        <v>1</v>
      </c>
      <c r="D26" s="7">
        <v>2</v>
      </c>
      <c r="E26" s="8">
        <v>1</v>
      </c>
      <c r="F26" s="9">
        <v>1</v>
      </c>
      <c r="G26" s="8">
        <f t="shared" si="0"/>
        <v>1</v>
      </c>
    </row>
    <row r="27" spans="1:7">
      <c r="A27" s="15">
        <v>26</v>
      </c>
      <c r="B27" s="7">
        <v>503</v>
      </c>
      <c r="C27" s="7">
        <v>0</v>
      </c>
      <c r="D27" s="7">
        <v>1</v>
      </c>
      <c r="E27" s="8">
        <v>1</v>
      </c>
      <c r="F27" s="9">
        <v>1</v>
      </c>
      <c r="G27" s="8">
        <f t="shared" si="0"/>
        <v>1</v>
      </c>
    </row>
    <row r="28" spans="1:7">
      <c r="A28" s="15">
        <v>27</v>
      </c>
      <c r="B28" s="7">
        <v>505</v>
      </c>
      <c r="C28" s="7">
        <v>0</v>
      </c>
      <c r="D28" s="7">
        <v>1</v>
      </c>
      <c r="E28" s="8">
        <v>1</v>
      </c>
      <c r="F28" s="9">
        <v>1</v>
      </c>
      <c r="G28" s="8">
        <f t="shared" si="0"/>
        <v>1</v>
      </c>
    </row>
    <row r="29" spans="1:7">
      <c r="A29" s="15">
        <v>28</v>
      </c>
      <c r="B29" s="7">
        <v>508</v>
      </c>
      <c r="C29" s="7">
        <v>0</v>
      </c>
      <c r="D29" s="7">
        <v>2</v>
      </c>
      <c r="E29" s="8">
        <v>1</v>
      </c>
      <c r="F29" s="9">
        <v>0.75</v>
      </c>
      <c r="G29" s="8">
        <f t="shared" si="0"/>
        <v>0.857142857142857</v>
      </c>
    </row>
    <row r="30" ht="13.9" spans="1:7">
      <c r="A30" s="15">
        <v>29</v>
      </c>
      <c r="B30" s="7" t="s">
        <v>89</v>
      </c>
      <c r="C30" s="7">
        <v>1</v>
      </c>
      <c r="D30" s="7">
        <v>3</v>
      </c>
      <c r="E30" s="8">
        <v>1</v>
      </c>
      <c r="F30" s="9">
        <v>0.833333333333333</v>
      </c>
      <c r="G30" s="8">
        <f t="shared" si="0"/>
        <v>0.909090909090909</v>
      </c>
    </row>
    <row r="31" ht="13.9" spans="1:7">
      <c r="A31" s="15">
        <v>30</v>
      </c>
      <c r="B31" s="7" t="s">
        <v>90</v>
      </c>
      <c r="C31" s="7">
        <v>1</v>
      </c>
      <c r="D31" s="7">
        <v>6</v>
      </c>
      <c r="E31" s="8">
        <v>0.6</v>
      </c>
      <c r="F31" s="9">
        <v>0.666666666666667</v>
      </c>
      <c r="G31" s="8">
        <f t="shared" si="0"/>
        <v>0.631578947368421</v>
      </c>
    </row>
    <row r="32" spans="1:7">
      <c r="A32" s="15">
        <v>31</v>
      </c>
      <c r="B32" s="7">
        <v>601</v>
      </c>
      <c r="C32" s="7">
        <v>0</v>
      </c>
      <c r="D32" s="7">
        <v>2</v>
      </c>
      <c r="E32" s="8">
        <v>1</v>
      </c>
      <c r="F32" s="9">
        <v>0.75</v>
      </c>
      <c r="G32" s="8">
        <f t="shared" si="0"/>
        <v>0.857142857142857</v>
      </c>
    </row>
    <row r="33" ht="13.9" spans="1:7">
      <c r="A33" s="16">
        <v>32</v>
      </c>
      <c r="B33" s="7" t="s">
        <v>91</v>
      </c>
      <c r="C33" s="7">
        <v>1</v>
      </c>
      <c r="D33" s="7">
        <v>1</v>
      </c>
      <c r="E33" s="8">
        <v>0.5</v>
      </c>
      <c r="F33" s="9">
        <v>1</v>
      </c>
      <c r="G33" s="8">
        <f t="shared" si="0"/>
        <v>0.666666666666667</v>
      </c>
    </row>
    <row r="34" spans="1:7">
      <c r="A34" s="15">
        <v>33</v>
      </c>
      <c r="B34" s="7">
        <v>602</v>
      </c>
      <c r="C34" s="7">
        <v>0</v>
      </c>
      <c r="D34" s="7">
        <v>1</v>
      </c>
      <c r="E34" s="8">
        <v>1</v>
      </c>
      <c r="F34" s="9">
        <v>1</v>
      </c>
      <c r="G34" s="8">
        <f t="shared" si="0"/>
        <v>1</v>
      </c>
    </row>
    <row r="35" ht="13.9" spans="1:7">
      <c r="A35" s="15">
        <v>34</v>
      </c>
      <c r="B35" s="7" t="s">
        <v>92</v>
      </c>
      <c r="C35" s="7">
        <v>1</v>
      </c>
      <c r="D35" s="7">
        <v>3</v>
      </c>
      <c r="E35" s="8">
        <v>1</v>
      </c>
      <c r="F35" s="9">
        <v>0.666666666666667</v>
      </c>
      <c r="G35" s="8">
        <f t="shared" si="0"/>
        <v>0.8</v>
      </c>
    </row>
    <row r="36" spans="1:7">
      <c r="A36" s="15">
        <v>35</v>
      </c>
      <c r="B36" s="7">
        <v>604</v>
      </c>
      <c r="C36" s="7">
        <v>0</v>
      </c>
      <c r="D36" s="7">
        <v>1</v>
      </c>
      <c r="E36" s="8">
        <v>1</v>
      </c>
      <c r="F36" s="9">
        <v>1</v>
      </c>
      <c r="G36" s="8">
        <f t="shared" si="0"/>
        <v>1</v>
      </c>
    </row>
    <row r="37" ht="13.9" spans="1:7">
      <c r="A37" s="15">
        <v>36</v>
      </c>
      <c r="B37" s="7" t="s">
        <v>92</v>
      </c>
      <c r="C37" s="7">
        <v>1</v>
      </c>
      <c r="D37" s="7">
        <v>2</v>
      </c>
      <c r="E37" s="8">
        <v>1</v>
      </c>
      <c r="F37" s="9">
        <v>1</v>
      </c>
      <c r="G37" s="8">
        <f t="shared" si="0"/>
        <v>1</v>
      </c>
    </row>
    <row r="38" spans="1:7">
      <c r="A38" s="15">
        <v>37</v>
      </c>
      <c r="B38" s="7">
        <v>701</v>
      </c>
      <c r="C38" s="7">
        <v>0</v>
      </c>
      <c r="D38" s="7">
        <v>2</v>
      </c>
      <c r="E38" s="8">
        <v>1</v>
      </c>
      <c r="F38" s="9">
        <v>0.5</v>
      </c>
      <c r="G38" s="8">
        <f t="shared" si="0"/>
        <v>0.666666666666667</v>
      </c>
    </row>
    <row r="39" spans="1:7">
      <c r="A39" s="15">
        <v>38</v>
      </c>
      <c r="B39" s="7">
        <v>703</v>
      </c>
      <c r="C39" s="7">
        <v>0</v>
      </c>
      <c r="D39" s="7">
        <v>2</v>
      </c>
      <c r="E39" s="8">
        <v>1</v>
      </c>
      <c r="F39" s="9">
        <v>0.5</v>
      </c>
      <c r="G39" s="8">
        <f t="shared" si="0"/>
        <v>0.666666666666667</v>
      </c>
    </row>
    <row r="40" spans="1:7">
      <c r="A40" s="15">
        <v>39</v>
      </c>
      <c r="B40" s="7">
        <v>704</v>
      </c>
      <c r="C40" s="7">
        <v>0</v>
      </c>
      <c r="D40" s="7">
        <v>2</v>
      </c>
      <c r="E40" s="8">
        <v>1</v>
      </c>
      <c r="F40" s="9">
        <v>0.5</v>
      </c>
      <c r="G40" s="8">
        <f t="shared" si="0"/>
        <v>0.666666666666667</v>
      </c>
    </row>
    <row r="41" spans="1:7">
      <c r="A41" s="15">
        <v>40</v>
      </c>
      <c r="B41" s="7">
        <v>707</v>
      </c>
      <c r="C41" s="7">
        <v>0</v>
      </c>
      <c r="D41" s="7">
        <v>3</v>
      </c>
      <c r="E41" s="8">
        <v>1</v>
      </c>
      <c r="F41" s="9">
        <v>0.333333333333333</v>
      </c>
      <c r="G41" s="8">
        <f t="shared" si="0"/>
        <v>0.5</v>
      </c>
    </row>
    <row r="42" spans="1:7">
      <c r="A42" s="15">
        <v>41</v>
      </c>
      <c r="B42" s="7">
        <v>702</v>
      </c>
      <c r="C42" s="7">
        <v>0</v>
      </c>
      <c r="D42" s="7">
        <v>4</v>
      </c>
      <c r="E42" s="8">
        <v>1</v>
      </c>
      <c r="F42" s="9">
        <v>0.5</v>
      </c>
      <c r="G42" s="8">
        <f t="shared" si="0"/>
        <v>0.666666666666667</v>
      </c>
    </row>
    <row r="43" spans="1:7">
      <c r="A43" s="15">
        <v>42</v>
      </c>
      <c r="B43" s="7">
        <v>706</v>
      </c>
      <c r="C43" s="7">
        <v>0</v>
      </c>
      <c r="D43" s="7">
        <v>2</v>
      </c>
      <c r="E43" s="8">
        <v>1</v>
      </c>
      <c r="F43" s="9">
        <v>0.75</v>
      </c>
      <c r="G43" s="8">
        <f t="shared" si="0"/>
        <v>0.857142857142857</v>
      </c>
    </row>
    <row r="44" spans="1:7">
      <c r="A44" s="15">
        <v>43</v>
      </c>
      <c r="B44" s="7">
        <v>101</v>
      </c>
      <c r="C44" s="7">
        <v>0</v>
      </c>
      <c r="D44" s="7">
        <v>4</v>
      </c>
      <c r="E44" s="8">
        <v>1</v>
      </c>
      <c r="F44" s="9">
        <v>0.5</v>
      </c>
      <c r="G44" s="8">
        <f t="shared" si="0"/>
        <v>0.666666666666667</v>
      </c>
    </row>
    <row r="45" spans="1:7">
      <c r="A45" s="15">
        <v>44</v>
      </c>
      <c r="B45" s="7">
        <v>101</v>
      </c>
      <c r="C45" s="7">
        <v>0</v>
      </c>
      <c r="D45" s="7">
        <v>3</v>
      </c>
      <c r="E45" s="8">
        <v>1</v>
      </c>
      <c r="F45" s="9">
        <v>0.666666666666667</v>
      </c>
      <c r="G45" s="8">
        <f t="shared" si="0"/>
        <v>0.8</v>
      </c>
    </row>
    <row r="46" spans="1:7">
      <c r="A46" s="15">
        <v>45</v>
      </c>
      <c r="B46" s="7">
        <v>102</v>
      </c>
      <c r="C46" s="7">
        <v>0</v>
      </c>
      <c r="D46" s="7">
        <v>4</v>
      </c>
      <c r="E46" s="8">
        <v>1</v>
      </c>
      <c r="F46" s="9">
        <v>0.625</v>
      </c>
      <c r="G46" s="8">
        <f t="shared" si="0"/>
        <v>0.769230769230769</v>
      </c>
    </row>
    <row r="47" ht="13.9" spans="1:7">
      <c r="A47" s="15">
        <v>46</v>
      </c>
      <c r="B47" s="7" t="s">
        <v>79</v>
      </c>
      <c r="C47" s="7">
        <v>1</v>
      </c>
      <c r="D47" s="7">
        <v>4</v>
      </c>
      <c r="E47" s="8">
        <v>1</v>
      </c>
      <c r="F47" s="9">
        <v>0.75</v>
      </c>
      <c r="G47" s="8">
        <f t="shared" si="0"/>
        <v>0.857142857142857</v>
      </c>
    </row>
    <row r="48" ht="13.9" spans="1:7">
      <c r="A48" s="15">
        <v>47</v>
      </c>
      <c r="B48" s="7" t="s">
        <v>80</v>
      </c>
      <c r="C48" s="7">
        <v>1</v>
      </c>
      <c r="D48" s="7">
        <v>3</v>
      </c>
      <c r="E48" s="8">
        <v>0.5</v>
      </c>
      <c r="F48" s="9">
        <v>0.5</v>
      </c>
      <c r="G48" s="8">
        <f t="shared" si="0"/>
        <v>0.5</v>
      </c>
    </row>
    <row r="49" spans="1:7">
      <c r="A49" s="15">
        <v>48</v>
      </c>
      <c r="B49" s="7">
        <v>108</v>
      </c>
      <c r="C49" s="7">
        <v>0</v>
      </c>
      <c r="D49" s="7">
        <v>3</v>
      </c>
      <c r="E49" s="8">
        <v>1</v>
      </c>
      <c r="F49" s="9">
        <v>0.5</v>
      </c>
      <c r="G49" s="8">
        <f t="shared" si="0"/>
        <v>0.666666666666667</v>
      </c>
    </row>
    <row r="50" spans="1:7">
      <c r="A50" s="15">
        <v>49</v>
      </c>
      <c r="B50" s="7">
        <v>201</v>
      </c>
      <c r="C50" s="7">
        <v>0</v>
      </c>
      <c r="D50" s="7">
        <v>4</v>
      </c>
      <c r="E50" s="8">
        <v>1</v>
      </c>
      <c r="F50" s="9">
        <v>0.625</v>
      </c>
      <c r="G50" s="8">
        <f t="shared" si="0"/>
        <v>0.769230769230769</v>
      </c>
    </row>
    <row r="51" spans="1:7">
      <c r="A51" s="15">
        <v>50</v>
      </c>
      <c r="B51" s="7">
        <v>204</v>
      </c>
      <c r="C51" s="7">
        <v>0</v>
      </c>
      <c r="D51" s="7">
        <v>4</v>
      </c>
      <c r="E51" s="8">
        <v>1</v>
      </c>
      <c r="F51" s="9">
        <v>0.5</v>
      </c>
      <c r="G51" s="8">
        <f t="shared" si="0"/>
        <v>0.666666666666667</v>
      </c>
    </row>
    <row r="52" ht="13.9" spans="1:7">
      <c r="A52" s="15">
        <v>51</v>
      </c>
      <c r="B52" s="7" t="s">
        <v>81</v>
      </c>
      <c r="C52" s="7">
        <v>1</v>
      </c>
      <c r="D52" s="7">
        <v>2</v>
      </c>
      <c r="E52" s="8">
        <v>1</v>
      </c>
      <c r="F52" s="9">
        <v>1</v>
      </c>
      <c r="G52" s="8">
        <f t="shared" si="0"/>
        <v>1</v>
      </c>
    </row>
    <row r="53" ht="13.9" spans="1:7">
      <c r="A53" s="15">
        <v>52</v>
      </c>
      <c r="B53" s="7" t="s">
        <v>82</v>
      </c>
      <c r="C53" s="7">
        <v>1</v>
      </c>
      <c r="D53" s="7">
        <v>2</v>
      </c>
      <c r="E53" s="8">
        <v>1</v>
      </c>
      <c r="F53" s="9">
        <v>1</v>
      </c>
      <c r="G53" s="8">
        <f t="shared" si="0"/>
        <v>1</v>
      </c>
    </row>
    <row r="54" ht="13.9" spans="1:7">
      <c r="A54" s="15">
        <v>53</v>
      </c>
      <c r="B54" s="7" t="s">
        <v>81</v>
      </c>
      <c r="C54" s="7">
        <v>1</v>
      </c>
      <c r="D54" s="7">
        <v>4</v>
      </c>
      <c r="E54" s="8">
        <v>1</v>
      </c>
      <c r="F54" s="9">
        <v>0.5</v>
      </c>
      <c r="G54" s="8">
        <f t="shared" si="0"/>
        <v>0.666666666666667</v>
      </c>
    </row>
    <row r="55" spans="1:7">
      <c r="A55" s="15">
        <v>54</v>
      </c>
      <c r="B55" s="7">
        <v>204</v>
      </c>
      <c r="C55" s="7">
        <v>0</v>
      </c>
      <c r="D55" s="7">
        <v>2</v>
      </c>
      <c r="E55" s="8">
        <v>1</v>
      </c>
      <c r="F55" s="9">
        <v>0.75</v>
      </c>
      <c r="G55" s="8">
        <f t="shared" si="0"/>
        <v>0.857142857142857</v>
      </c>
    </row>
    <row r="56" spans="1:7">
      <c r="A56" s="15">
        <v>55</v>
      </c>
      <c r="B56" s="7">
        <v>305</v>
      </c>
      <c r="C56" s="7">
        <v>0</v>
      </c>
      <c r="D56" s="7">
        <v>2</v>
      </c>
      <c r="E56" s="8">
        <v>1</v>
      </c>
      <c r="F56" s="9">
        <v>0.75</v>
      </c>
      <c r="G56" s="8">
        <f t="shared" si="0"/>
        <v>0.857142857142857</v>
      </c>
    </row>
    <row r="57" ht="13.9" spans="1:7">
      <c r="A57" s="15">
        <v>56</v>
      </c>
      <c r="B57" s="7" t="s">
        <v>83</v>
      </c>
      <c r="C57" s="7">
        <v>1</v>
      </c>
      <c r="D57" s="7">
        <v>2</v>
      </c>
      <c r="E57" s="8">
        <v>0.5</v>
      </c>
      <c r="F57" s="9">
        <v>0.5</v>
      </c>
      <c r="G57" s="8">
        <f t="shared" si="0"/>
        <v>0.5</v>
      </c>
    </row>
    <row r="58" ht="13.9" spans="1:7">
      <c r="A58" s="15">
        <v>57</v>
      </c>
      <c r="B58" s="7" t="s">
        <v>84</v>
      </c>
      <c r="C58" s="7">
        <v>1</v>
      </c>
      <c r="D58" s="7">
        <v>3</v>
      </c>
      <c r="E58" s="8">
        <v>1</v>
      </c>
      <c r="F58" s="9">
        <v>1</v>
      </c>
      <c r="G58" s="8">
        <f t="shared" si="0"/>
        <v>1</v>
      </c>
    </row>
    <row r="59" spans="1:7">
      <c r="A59" s="15">
        <v>58</v>
      </c>
      <c r="B59" s="7">
        <v>301</v>
      </c>
      <c r="C59" s="7">
        <v>0</v>
      </c>
      <c r="D59" s="7">
        <v>2</v>
      </c>
      <c r="E59" s="8">
        <v>1</v>
      </c>
      <c r="F59" s="9">
        <v>0.75</v>
      </c>
      <c r="G59" s="8">
        <f t="shared" si="0"/>
        <v>0.857142857142857</v>
      </c>
    </row>
    <row r="60" spans="1:7">
      <c r="A60" s="15">
        <v>59</v>
      </c>
      <c r="B60" s="7">
        <v>308</v>
      </c>
      <c r="C60" s="7">
        <v>0</v>
      </c>
      <c r="D60" s="7">
        <v>3</v>
      </c>
      <c r="E60" s="8">
        <v>1</v>
      </c>
      <c r="F60" s="9">
        <v>0.666666666666667</v>
      </c>
      <c r="G60" s="8">
        <f t="shared" si="0"/>
        <v>0.8</v>
      </c>
    </row>
    <row r="61" ht="13.9" spans="1:7">
      <c r="A61" s="15">
        <v>60</v>
      </c>
      <c r="B61" s="7" t="s">
        <v>85</v>
      </c>
      <c r="C61" s="7">
        <v>1</v>
      </c>
      <c r="D61" s="7">
        <v>3</v>
      </c>
      <c r="E61" s="8">
        <v>1</v>
      </c>
      <c r="F61" s="9">
        <v>1</v>
      </c>
      <c r="G61" s="8">
        <f t="shared" si="0"/>
        <v>1</v>
      </c>
    </row>
    <row r="62" spans="1:7">
      <c r="A62" s="15">
        <v>61</v>
      </c>
      <c r="B62" s="7">
        <v>404</v>
      </c>
      <c r="C62" s="7">
        <v>0</v>
      </c>
      <c r="D62" s="7">
        <v>3</v>
      </c>
      <c r="E62" s="8">
        <v>1</v>
      </c>
      <c r="F62" s="9">
        <v>0.333333333333333</v>
      </c>
      <c r="G62" s="8">
        <f t="shared" si="0"/>
        <v>0.5</v>
      </c>
    </row>
    <row r="63" ht="13.9" spans="1:7">
      <c r="A63" s="15">
        <v>62</v>
      </c>
      <c r="B63" s="7" t="s">
        <v>86</v>
      </c>
      <c r="C63" s="7">
        <v>1</v>
      </c>
      <c r="D63" s="7">
        <v>4</v>
      </c>
      <c r="E63" s="8">
        <v>0.5</v>
      </c>
      <c r="F63" s="9">
        <v>0.375</v>
      </c>
      <c r="G63" s="8">
        <f t="shared" si="0"/>
        <v>0.428571428571429</v>
      </c>
    </row>
    <row r="64" ht="13.9" spans="1:7">
      <c r="A64" s="15">
        <v>63</v>
      </c>
      <c r="B64" s="7" t="s">
        <v>87</v>
      </c>
      <c r="C64" s="7">
        <v>1</v>
      </c>
      <c r="D64" s="7">
        <v>4</v>
      </c>
      <c r="E64" s="8">
        <v>1</v>
      </c>
      <c r="F64" s="9">
        <v>1</v>
      </c>
      <c r="G64" s="8">
        <f t="shared" si="0"/>
        <v>1</v>
      </c>
    </row>
    <row r="65" spans="1:7">
      <c r="A65" s="15">
        <v>64</v>
      </c>
      <c r="B65" s="7">
        <v>402</v>
      </c>
      <c r="C65" s="7">
        <v>0</v>
      </c>
      <c r="D65" s="7">
        <v>4</v>
      </c>
      <c r="E65" s="8">
        <v>1</v>
      </c>
      <c r="F65" s="9">
        <v>0.5</v>
      </c>
      <c r="G65" s="8">
        <f t="shared" si="0"/>
        <v>0.666666666666667</v>
      </c>
    </row>
    <row r="66" spans="1:7">
      <c r="A66" s="15">
        <v>65</v>
      </c>
      <c r="B66" s="7">
        <v>402</v>
      </c>
      <c r="C66" s="7">
        <v>0</v>
      </c>
      <c r="D66" s="7">
        <v>3</v>
      </c>
      <c r="E66" s="8">
        <v>1</v>
      </c>
      <c r="F66" s="9">
        <v>0.5</v>
      </c>
      <c r="G66" s="8">
        <f t="shared" ref="G66:G68" si="1">2*E66*F66/(E66+F66)</f>
        <v>0.666666666666667</v>
      </c>
    </row>
    <row r="67" spans="1:7">
      <c r="A67" s="15">
        <v>66</v>
      </c>
      <c r="B67" s="7">
        <v>405</v>
      </c>
      <c r="C67" s="7">
        <v>0</v>
      </c>
      <c r="D67" s="7">
        <v>3</v>
      </c>
      <c r="E67" s="8">
        <v>1</v>
      </c>
      <c r="F67" s="9">
        <v>0.5</v>
      </c>
      <c r="G67" s="8">
        <f t="shared" si="1"/>
        <v>0.666666666666667</v>
      </c>
    </row>
    <row r="68" ht="13.9" spans="1:7">
      <c r="A68" s="15">
        <v>67</v>
      </c>
      <c r="B68" s="7" t="s">
        <v>88</v>
      </c>
      <c r="C68" s="7">
        <v>1</v>
      </c>
      <c r="D68" s="7">
        <v>2</v>
      </c>
      <c r="E68" s="8">
        <v>1</v>
      </c>
      <c r="F68" s="9">
        <v>1</v>
      </c>
      <c r="G68" s="8">
        <f t="shared" si="1"/>
        <v>1</v>
      </c>
    </row>
    <row r="69" spans="1:7">
      <c r="A69" s="15">
        <v>68</v>
      </c>
      <c r="B69" s="7">
        <v>503</v>
      </c>
      <c r="C69" s="7">
        <v>0</v>
      </c>
      <c r="D69" s="7">
        <v>1</v>
      </c>
      <c r="E69" s="8">
        <v>0</v>
      </c>
      <c r="F69" s="9">
        <v>0</v>
      </c>
      <c r="G69" s="8">
        <v>0</v>
      </c>
    </row>
    <row r="70" spans="1:7">
      <c r="A70" s="15">
        <v>69</v>
      </c>
      <c r="B70" s="7">
        <v>505</v>
      </c>
      <c r="C70" s="7">
        <v>0</v>
      </c>
      <c r="D70" s="7">
        <v>1</v>
      </c>
      <c r="E70" s="8">
        <v>1</v>
      </c>
      <c r="F70" s="9">
        <v>1</v>
      </c>
      <c r="G70" s="8">
        <f t="shared" ref="G70:G74" si="2">2*E70*F70/(E70+F70)</f>
        <v>1</v>
      </c>
    </row>
    <row r="71" spans="1:7">
      <c r="A71" s="15">
        <v>70</v>
      </c>
      <c r="B71" s="7">
        <v>508</v>
      </c>
      <c r="C71" s="7">
        <v>0</v>
      </c>
      <c r="D71" s="7">
        <v>2</v>
      </c>
      <c r="E71" s="8">
        <v>1</v>
      </c>
      <c r="F71" s="9">
        <v>0.75</v>
      </c>
      <c r="G71" s="8">
        <f t="shared" si="2"/>
        <v>0.857142857142857</v>
      </c>
    </row>
    <row r="72" ht="13.9" spans="1:7">
      <c r="A72" s="15">
        <v>71</v>
      </c>
      <c r="B72" s="7" t="s">
        <v>89</v>
      </c>
      <c r="C72" s="7">
        <v>1</v>
      </c>
      <c r="D72" s="7">
        <v>3</v>
      </c>
      <c r="E72" s="8">
        <v>0.5</v>
      </c>
      <c r="F72" s="9">
        <v>0.5</v>
      </c>
      <c r="G72" s="8">
        <f t="shared" si="2"/>
        <v>0.5</v>
      </c>
    </row>
    <row r="73" ht="13.9" spans="1:7">
      <c r="A73" s="15">
        <v>72</v>
      </c>
      <c r="B73" s="7" t="s">
        <v>90</v>
      </c>
      <c r="C73" s="7">
        <v>1</v>
      </c>
      <c r="D73" s="7">
        <v>6</v>
      </c>
      <c r="E73" s="8">
        <v>0.6</v>
      </c>
      <c r="F73" s="9">
        <v>0.666666666666667</v>
      </c>
      <c r="G73" s="8">
        <f t="shared" si="2"/>
        <v>0.631578947368421</v>
      </c>
    </row>
    <row r="74" spans="1:7">
      <c r="A74" s="15">
        <v>73</v>
      </c>
      <c r="B74" s="7">
        <v>601</v>
      </c>
      <c r="C74" s="7">
        <v>0</v>
      </c>
      <c r="D74" s="7">
        <v>2</v>
      </c>
      <c r="E74" s="8">
        <v>1</v>
      </c>
      <c r="F74" s="9">
        <v>0.75</v>
      </c>
      <c r="G74" s="8">
        <f t="shared" si="2"/>
        <v>0.857142857142857</v>
      </c>
    </row>
    <row r="75" ht="13.9" spans="1:7">
      <c r="A75" s="15">
        <v>74</v>
      </c>
      <c r="B75" s="7" t="s">
        <v>91</v>
      </c>
      <c r="C75" s="7">
        <v>1</v>
      </c>
      <c r="D75" s="7">
        <v>1</v>
      </c>
      <c r="E75" s="8">
        <v>0</v>
      </c>
      <c r="F75" s="9">
        <v>0</v>
      </c>
      <c r="G75" s="8">
        <v>0</v>
      </c>
    </row>
    <row r="76" spans="1:7">
      <c r="A76" s="15">
        <v>75</v>
      </c>
      <c r="B76" s="7">
        <v>602</v>
      </c>
      <c r="C76" s="7">
        <v>0</v>
      </c>
      <c r="D76" s="7">
        <v>1</v>
      </c>
      <c r="E76" s="8">
        <v>1</v>
      </c>
      <c r="F76" s="9">
        <v>1</v>
      </c>
      <c r="G76" s="8">
        <f t="shared" ref="G76:G78" si="3">2*E76*F76/(E76+F76)</f>
        <v>1</v>
      </c>
    </row>
    <row r="77" ht="13.9" spans="1:7">
      <c r="A77" s="15">
        <v>76</v>
      </c>
      <c r="B77" s="7" t="s">
        <v>92</v>
      </c>
      <c r="C77" s="7">
        <v>1</v>
      </c>
      <c r="D77" s="7">
        <v>3</v>
      </c>
      <c r="E77" s="8">
        <v>1</v>
      </c>
      <c r="F77" s="9">
        <v>0.666666666666667</v>
      </c>
      <c r="G77" s="8">
        <f t="shared" si="3"/>
        <v>0.8</v>
      </c>
    </row>
    <row r="78" spans="1:7">
      <c r="A78" s="15">
        <v>77</v>
      </c>
      <c r="B78" s="7">
        <v>604</v>
      </c>
      <c r="C78" s="7">
        <v>0</v>
      </c>
      <c r="D78" s="7">
        <v>1</v>
      </c>
      <c r="E78" s="8">
        <v>1</v>
      </c>
      <c r="F78" s="9">
        <v>1</v>
      </c>
      <c r="G78" s="8">
        <f t="shared" si="3"/>
        <v>1</v>
      </c>
    </row>
    <row r="79" ht="13.9" spans="1:7">
      <c r="A79" s="15">
        <v>78</v>
      </c>
      <c r="B79" s="7" t="s">
        <v>92</v>
      </c>
      <c r="C79" s="7">
        <v>1</v>
      </c>
      <c r="D79" s="7">
        <v>2</v>
      </c>
      <c r="E79" s="8">
        <v>0</v>
      </c>
      <c r="F79" s="9">
        <v>0</v>
      </c>
      <c r="G79" s="8">
        <v>0</v>
      </c>
    </row>
    <row r="80" spans="1:7">
      <c r="A80" s="15">
        <v>79</v>
      </c>
      <c r="B80" s="7">
        <v>701</v>
      </c>
      <c r="C80" s="7">
        <v>0</v>
      </c>
      <c r="D80" s="7">
        <v>2</v>
      </c>
      <c r="E80" s="8">
        <v>1</v>
      </c>
      <c r="F80" s="9">
        <v>0.5</v>
      </c>
      <c r="G80" s="8">
        <f t="shared" ref="G80:G83" si="4">2*E80*F80/(E80+F80)</f>
        <v>0.666666666666667</v>
      </c>
    </row>
    <row r="81" spans="1:7">
      <c r="A81" s="15">
        <v>80</v>
      </c>
      <c r="B81" s="7">
        <v>703</v>
      </c>
      <c r="C81" s="7">
        <v>0</v>
      </c>
      <c r="D81" s="7">
        <v>2</v>
      </c>
      <c r="E81" s="8">
        <v>1</v>
      </c>
      <c r="F81" s="9">
        <v>0.5</v>
      </c>
      <c r="G81" s="8">
        <f t="shared" si="4"/>
        <v>0.666666666666667</v>
      </c>
    </row>
    <row r="82" spans="1:7">
      <c r="A82" s="15">
        <v>81</v>
      </c>
      <c r="B82" s="7">
        <v>704</v>
      </c>
      <c r="C82" s="7">
        <v>0</v>
      </c>
      <c r="D82" s="7">
        <v>2</v>
      </c>
      <c r="E82" s="8">
        <v>1</v>
      </c>
      <c r="F82" s="9">
        <v>0.5</v>
      </c>
      <c r="G82" s="8">
        <f t="shared" si="4"/>
        <v>0.666666666666667</v>
      </c>
    </row>
    <row r="83" spans="1:7">
      <c r="A83" s="15">
        <v>82</v>
      </c>
      <c r="B83" s="7">
        <v>707</v>
      </c>
      <c r="C83" s="7">
        <v>0</v>
      </c>
      <c r="D83" s="7">
        <v>3</v>
      </c>
      <c r="E83" s="8">
        <v>1</v>
      </c>
      <c r="F83" s="9">
        <v>0.333333333333333</v>
      </c>
      <c r="G83" s="8">
        <f t="shared" si="4"/>
        <v>0.5</v>
      </c>
    </row>
    <row r="84" spans="1:7">
      <c r="A84" s="15">
        <v>83</v>
      </c>
      <c r="B84" s="7">
        <v>702</v>
      </c>
      <c r="C84" s="7">
        <v>0</v>
      </c>
      <c r="D84" s="7">
        <v>4</v>
      </c>
      <c r="E84" s="8">
        <v>0</v>
      </c>
      <c r="F84" s="9">
        <v>0</v>
      </c>
      <c r="G84" s="8">
        <v>0</v>
      </c>
    </row>
    <row r="85" spans="1:7">
      <c r="A85" s="15">
        <v>84</v>
      </c>
      <c r="B85" s="7">
        <v>706</v>
      </c>
      <c r="C85" s="7">
        <v>0</v>
      </c>
      <c r="D85" s="7">
        <v>2</v>
      </c>
      <c r="E85" s="8">
        <v>1</v>
      </c>
      <c r="F85" s="9">
        <v>0.5</v>
      </c>
      <c r="G85" s="8">
        <f>2*E85*F85/(E85+F85)</f>
        <v>0.666666666666667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7"/>
  <sheetViews>
    <sheetView topLeftCell="A90" workbookViewId="0">
      <selection activeCell="C5" sqref="C2:C43"/>
    </sheetView>
  </sheetViews>
  <sheetFormatPr defaultColWidth="9.02654867256637" defaultRowHeight="13.5"/>
  <cols>
    <col min="5" max="5" width="10.8938053097345" customWidth="1"/>
    <col min="11" max="11" width="11.1592920353982" customWidth="1"/>
  </cols>
  <sheetData>
    <row r="1" ht="15.35" spans="1:11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G1" s="1" t="s">
        <v>98</v>
      </c>
      <c r="H1" s="1" t="s">
        <v>94</v>
      </c>
      <c r="I1" s="1" t="s">
        <v>95</v>
      </c>
      <c r="J1" s="1" t="s">
        <v>96</v>
      </c>
      <c r="K1" s="1" t="s">
        <v>97</v>
      </c>
    </row>
    <row r="2" ht="15.35" spans="1:11">
      <c r="A2" s="2" t="s">
        <v>99</v>
      </c>
      <c r="B2" s="2"/>
      <c r="C2" s="2"/>
      <c r="D2" s="2"/>
      <c r="E2" s="3"/>
      <c r="G2" s="2" t="s">
        <v>99</v>
      </c>
      <c r="H2" s="2"/>
      <c r="I2" s="2"/>
      <c r="J2" s="2"/>
      <c r="K2" s="3"/>
    </row>
    <row r="3" ht="15.35" spans="1:11">
      <c r="A3" s="2" t="s">
        <v>100</v>
      </c>
      <c r="B3" s="2"/>
      <c r="C3" s="2"/>
      <c r="D3" s="2"/>
      <c r="E3" s="4"/>
      <c r="G3" s="2" t="s">
        <v>100</v>
      </c>
      <c r="H3" s="2"/>
      <c r="I3" s="2"/>
      <c r="J3" s="2"/>
      <c r="K3" s="4"/>
    </row>
    <row r="4" ht="15.35" spans="1:11">
      <c r="A4" s="2" t="s">
        <v>101</v>
      </c>
      <c r="B4" s="2"/>
      <c r="C4" s="2"/>
      <c r="D4" s="2"/>
      <c r="E4" s="5"/>
      <c r="G4" s="2" t="s">
        <v>101</v>
      </c>
      <c r="H4" s="2"/>
      <c r="I4" s="2"/>
      <c r="J4" s="2"/>
      <c r="K4" s="5"/>
    </row>
    <row r="6" ht="15.35" spans="1:11">
      <c r="A6" s="1" t="s">
        <v>102</v>
      </c>
      <c r="B6" s="1" t="s">
        <v>94</v>
      </c>
      <c r="C6" s="1" t="s">
        <v>95</v>
      </c>
      <c r="D6" s="1" t="s">
        <v>96</v>
      </c>
      <c r="E6" s="1" t="s">
        <v>97</v>
      </c>
      <c r="G6" s="1" t="s">
        <v>103</v>
      </c>
      <c r="H6" s="1" t="s">
        <v>94</v>
      </c>
      <c r="I6" s="1" t="s">
        <v>95</v>
      </c>
      <c r="J6" s="1" t="s">
        <v>96</v>
      </c>
      <c r="K6" s="1" t="s">
        <v>97</v>
      </c>
    </row>
    <row r="7" ht="15.35" spans="1:11">
      <c r="A7" s="2" t="s">
        <v>99</v>
      </c>
      <c r="B7" s="2"/>
      <c r="C7" s="2"/>
      <c r="D7" s="2"/>
      <c r="E7" s="3"/>
      <c r="G7" s="2" t="s">
        <v>99</v>
      </c>
      <c r="H7" s="2"/>
      <c r="I7" s="2"/>
      <c r="J7" s="2"/>
      <c r="K7" s="3"/>
    </row>
    <row r="8" ht="15.35" spans="1:11">
      <c r="A8" s="2" t="s">
        <v>100</v>
      </c>
      <c r="B8" s="2"/>
      <c r="C8" s="2"/>
      <c r="D8" s="2"/>
      <c r="E8" s="4"/>
      <c r="G8" s="2" t="s">
        <v>100</v>
      </c>
      <c r="H8" s="2"/>
      <c r="I8" s="2"/>
      <c r="J8" s="2"/>
      <c r="K8" s="4"/>
    </row>
    <row r="9" ht="15.35" spans="1:11">
      <c r="A9" s="2" t="s">
        <v>101</v>
      </c>
      <c r="B9" s="2"/>
      <c r="C9" s="2"/>
      <c r="D9" s="2"/>
      <c r="E9" s="5"/>
      <c r="G9" s="2" t="s">
        <v>101</v>
      </c>
      <c r="H9" s="2"/>
      <c r="I9" s="2"/>
      <c r="J9" s="2"/>
      <c r="K9" s="5"/>
    </row>
    <row r="11" ht="15.35" spans="1:11">
      <c r="A11" s="1" t="s">
        <v>104</v>
      </c>
      <c r="B11" s="1" t="s">
        <v>94</v>
      </c>
      <c r="C11" s="1" t="s">
        <v>95</v>
      </c>
      <c r="D11" s="1" t="s">
        <v>96</v>
      </c>
      <c r="E11" s="1" t="s">
        <v>97</v>
      </c>
      <c r="G11" s="1" t="s">
        <v>105</v>
      </c>
      <c r="H11" s="1" t="s">
        <v>94</v>
      </c>
      <c r="I11" s="1" t="s">
        <v>95</v>
      </c>
      <c r="J11" s="1" t="s">
        <v>96</v>
      </c>
      <c r="K11" s="1" t="s">
        <v>97</v>
      </c>
    </row>
    <row r="12" ht="15.35" spans="1:11">
      <c r="A12" s="2" t="s">
        <v>99</v>
      </c>
      <c r="B12" s="2"/>
      <c r="C12" s="2"/>
      <c r="D12" s="2"/>
      <c r="E12" s="3"/>
      <c r="G12" s="2" t="s">
        <v>99</v>
      </c>
      <c r="H12" s="2"/>
      <c r="I12" s="2"/>
      <c r="J12" s="2"/>
      <c r="K12" s="3"/>
    </row>
    <row r="13" ht="15.35" spans="1:11">
      <c r="A13" s="2" t="s">
        <v>100</v>
      </c>
      <c r="B13" s="2"/>
      <c r="C13" s="2"/>
      <c r="D13" s="2"/>
      <c r="E13" s="4"/>
      <c r="G13" s="2" t="s">
        <v>100</v>
      </c>
      <c r="H13" s="2"/>
      <c r="I13" s="2"/>
      <c r="J13" s="2"/>
      <c r="K13" s="4"/>
    </row>
    <row r="14" ht="15.35" spans="1:11">
      <c r="A14" s="2" t="s">
        <v>101</v>
      </c>
      <c r="B14" s="2"/>
      <c r="C14" s="2"/>
      <c r="D14" s="2"/>
      <c r="E14" s="5"/>
      <c r="G14" s="2" t="s">
        <v>101</v>
      </c>
      <c r="H14" s="2"/>
      <c r="I14" s="2"/>
      <c r="J14" s="2"/>
      <c r="K14" s="5"/>
    </row>
    <row r="16" ht="15.35" spans="1:11">
      <c r="A16" s="1" t="s">
        <v>106</v>
      </c>
      <c r="B16" s="1" t="s">
        <v>94</v>
      </c>
      <c r="C16" s="1" t="s">
        <v>95</v>
      </c>
      <c r="D16" s="1" t="s">
        <v>96</v>
      </c>
      <c r="E16" s="1" t="s">
        <v>97</v>
      </c>
      <c r="G16" s="1" t="s">
        <v>107</v>
      </c>
      <c r="H16" s="1" t="s">
        <v>94</v>
      </c>
      <c r="I16" s="1" t="s">
        <v>95</v>
      </c>
      <c r="J16" s="1" t="s">
        <v>96</v>
      </c>
      <c r="K16" s="1" t="s">
        <v>97</v>
      </c>
    </row>
    <row r="17" ht="15.35" spans="1:11">
      <c r="A17" s="2" t="s">
        <v>99</v>
      </c>
      <c r="B17" s="2"/>
      <c r="C17" s="2"/>
      <c r="D17" s="2"/>
      <c r="E17" s="3"/>
      <c r="G17" s="2" t="s">
        <v>99</v>
      </c>
      <c r="H17" s="2"/>
      <c r="I17" s="2"/>
      <c r="J17" s="2"/>
      <c r="K17" s="3"/>
    </row>
    <row r="18" ht="15.35" spans="1:11">
      <c r="A18" s="2" t="s">
        <v>100</v>
      </c>
      <c r="B18" s="2"/>
      <c r="C18" s="2"/>
      <c r="D18" s="2"/>
      <c r="E18" s="4"/>
      <c r="G18" s="2" t="s">
        <v>100</v>
      </c>
      <c r="H18" s="2"/>
      <c r="I18" s="2"/>
      <c r="J18" s="2"/>
      <c r="K18" s="4"/>
    </row>
    <row r="19" ht="15.35" spans="1:11">
      <c r="A19" s="2" t="s">
        <v>101</v>
      </c>
      <c r="B19" s="2"/>
      <c r="C19" s="2"/>
      <c r="D19" s="2"/>
      <c r="E19" s="5"/>
      <c r="G19" s="2" t="s">
        <v>101</v>
      </c>
      <c r="H19" s="2"/>
      <c r="I19" s="2"/>
      <c r="J19" s="2"/>
      <c r="K19" s="5"/>
    </row>
    <row r="21" ht="15.35" spans="1:11">
      <c r="A21" s="1" t="s">
        <v>108</v>
      </c>
      <c r="B21" s="1" t="s">
        <v>94</v>
      </c>
      <c r="C21" s="1" t="s">
        <v>95</v>
      </c>
      <c r="D21" s="1" t="s">
        <v>96</v>
      </c>
      <c r="E21" s="1" t="s">
        <v>97</v>
      </c>
      <c r="G21" s="1" t="s">
        <v>109</v>
      </c>
      <c r="H21" s="1" t="s">
        <v>94</v>
      </c>
      <c r="I21" s="1" t="s">
        <v>95</v>
      </c>
      <c r="J21" s="1" t="s">
        <v>96</v>
      </c>
      <c r="K21" s="1" t="s">
        <v>97</v>
      </c>
    </row>
    <row r="22" ht="15.35" spans="1:11">
      <c r="A22" s="2" t="s">
        <v>99</v>
      </c>
      <c r="B22" s="2"/>
      <c r="C22" s="2"/>
      <c r="D22" s="2"/>
      <c r="E22" s="3"/>
      <c r="G22" s="2" t="s">
        <v>99</v>
      </c>
      <c r="H22" s="2"/>
      <c r="I22" s="2"/>
      <c r="J22" s="2"/>
      <c r="K22" s="3"/>
    </row>
    <row r="23" ht="15.35" spans="1:11">
      <c r="A23" s="2" t="s">
        <v>100</v>
      </c>
      <c r="B23" s="2"/>
      <c r="C23" s="2"/>
      <c r="D23" s="2"/>
      <c r="E23" s="4"/>
      <c r="G23" s="2" t="s">
        <v>100</v>
      </c>
      <c r="H23" s="2"/>
      <c r="I23" s="2"/>
      <c r="J23" s="2"/>
      <c r="K23" s="4"/>
    </row>
    <row r="24" ht="15.35" spans="1:11">
      <c r="A24" s="2" t="s">
        <v>101</v>
      </c>
      <c r="B24" s="2"/>
      <c r="C24" s="2"/>
      <c r="D24" s="2"/>
      <c r="E24" s="5"/>
      <c r="G24" s="2" t="s">
        <v>101</v>
      </c>
      <c r="H24" s="2"/>
      <c r="I24" s="2"/>
      <c r="J24" s="2"/>
      <c r="K24" s="5"/>
    </row>
    <row r="26" ht="15.35" spans="1:11">
      <c r="A26" s="1" t="s">
        <v>110</v>
      </c>
      <c r="B26" s="1" t="s">
        <v>94</v>
      </c>
      <c r="C26" s="1" t="s">
        <v>95</v>
      </c>
      <c r="D26" s="1" t="s">
        <v>96</v>
      </c>
      <c r="E26" s="1" t="s">
        <v>97</v>
      </c>
      <c r="G26" s="1" t="s">
        <v>111</v>
      </c>
      <c r="H26" s="1" t="s">
        <v>94</v>
      </c>
      <c r="I26" s="1" t="s">
        <v>95</v>
      </c>
      <c r="J26" s="1" t="s">
        <v>96</v>
      </c>
      <c r="K26" s="1" t="s">
        <v>97</v>
      </c>
    </row>
    <row r="27" ht="15.35" spans="1:11">
      <c r="A27" s="2" t="s">
        <v>99</v>
      </c>
      <c r="B27" s="2"/>
      <c r="C27" s="2"/>
      <c r="D27" s="2"/>
      <c r="E27" s="3"/>
      <c r="G27" s="2" t="s">
        <v>99</v>
      </c>
      <c r="H27" s="2"/>
      <c r="I27" s="2"/>
      <c r="J27" s="2"/>
      <c r="K27" s="3"/>
    </row>
    <row r="28" ht="15.35" spans="1:11">
      <c r="A28" s="2" t="s">
        <v>100</v>
      </c>
      <c r="B28" s="2"/>
      <c r="C28" s="2"/>
      <c r="D28" s="2"/>
      <c r="E28" s="4"/>
      <c r="G28" s="2" t="s">
        <v>100</v>
      </c>
      <c r="H28" s="2"/>
      <c r="I28" s="2"/>
      <c r="J28" s="2"/>
      <c r="K28" s="4"/>
    </row>
    <row r="29" ht="15.35" spans="1:11">
      <c r="A29" s="2" t="s">
        <v>101</v>
      </c>
      <c r="B29" s="2"/>
      <c r="C29" s="2"/>
      <c r="D29" s="2"/>
      <c r="E29" s="5"/>
      <c r="G29" s="2" t="s">
        <v>101</v>
      </c>
      <c r="H29" s="2"/>
      <c r="I29" s="2"/>
      <c r="J29" s="2"/>
      <c r="K29" s="5"/>
    </row>
    <row r="31" ht="15.35" spans="1:11">
      <c r="A31" s="1" t="s">
        <v>112</v>
      </c>
      <c r="B31" s="1" t="s">
        <v>94</v>
      </c>
      <c r="C31" s="1" t="s">
        <v>95</v>
      </c>
      <c r="D31" s="1" t="s">
        <v>96</v>
      </c>
      <c r="E31" s="1" t="s">
        <v>97</v>
      </c>
      <c r="G31" s="1" t="s">
        <v>113</v>
      </c>
      <c r="H31" s="1" t="s">
        <v>94</v>
      </c>
      <c r="I31" s="1" t="s">
        <v>95</v>
      </c>
      <c r="J31" s="1" t="s">
        <v>96</v>
      </c>
      <c r="K31" s="1" t="s">
        <v>97</v>
      </c>
    </row>
    <row r="32" ht="15.35" spans="1:11">
      <c r="A32" s="2" t="s">
        <v>99</v>
      </c>
      <c r="B32" s="2"/>
      <c r="C32" s="2"/>
      <c r="D32" s="2"/>
      <c r="E32" s="3"/>
      <c r="G32" s="2" t="s">
        <v>99</v>
      </c>
      <c r="H32" s="2"/>
      <c r="I32" s="2"/>
      <c r="J32" s="2"/>
      <c r="K32" s="3"/>
    </row>
    <row r="33" ht="15.35" spans="1:11">
      <c r="A33" s="2" t="s">
        <v>100</v>
      </c>
      <c r="B33" s="2"/>
      <c r="C33" s="2"/>
      <c r="D33" s="2"/>
      <c r="E33" s="4"/>
      <c r="G33" s="2" t="s">
        <v>100</v>
      </c>
      <c r="H33" s="2"/>
      <c r="I33" s="2"/>
      <c r="J33" s="2"/>
      <c r="K33" s="4"/>
    </row>
    <row r="34" ht="15.35" spans="1:11">
      <c r="A34" s="2" t="s">
        <v>101</v>
      </c>
      <c r="B34" s="2"/>
      <c r="C34" s="2"/>
      <c r="D34" s="2"/>
      <c r="E34" s="5"/>
      <c r="G34" s="2" t="s">
        <v>101</v>
      </c>
      <c r="H34" s="2"/>
      <c r="I34" s="2"/>
      <c r="J34" s="2"/>
      <c r="K34" s="5"/>
    </row>
    <row r="37" ht="15.35" spans="1:11">
      <c r="A37" s="1" t="s">
        <v>114</v>
      </c>
      <c r="B37" s="1" t="s">
        <v>94</v>
      </c>
      <c r="C37" s="1" t="s">
        <v>95</v>
      </c>
      <c r="D37" s="1" t="s">
        <v>96</v>
      </c>
      <c r="E37" s="1" t="s">
        <v>97</v>
      </c>
      <c r="G37" s="1" t="s">
        <v>115</v>
      </c>
      <c r="H37" s="1" t="s">
        <v>94</v>
      </c>
      <c r="I37" s="1" t="s">
        <v>95</v>
      </c>
      <c r="J37" s="1" t="s">
        <v>96</v>
      </c>
      <c r="K37" s="1" t="s">
        <v>97</v>
      </c>
    </row>
    <row r="38" ht="15.35" spans="1:11">
      <c r="A38" s="2" t="s">
        <v>99</v>
      </c>
      <c r="B38" s="2"/>
      <c r="C38" s="2"/>
      <c r="D38" s="2"/>
      <c r="E38" s="3"/>
      <c r="G38" s="2" t="s">
        <v>99</v>
      </c>
      <c r="H38" s="2"/>
      <c r="I38" s="2"/>
      <c r="J38" s="2"/>
      <c r="K38" s="3"/>
    </row>
    <row r="39" ht="15.35" spans="1:11">
      <c r="A39" s="2" t="s">
        <v>100</v>
      </c>
      <c r="B39" s="2"/>
      <c r="C39" s="2"/>
      <c r="D39" s="2"/>
      <c r="E39" s="4"/>
      <c r="G39" s="2" t="s">
        <v>100</v>
      </c>
      <c r="H39" s="2"/>
      <c r="I39" s="2"/>
      <c r="J39" s="2"/>
      <c r="K39" s="4"/>
    </row>
    <row r="40" ht="15.35" spans="1:11">
      <c r="A40" s="2" t="s">
        <v>101</v>
      </c>
      <c r="B40" s="2"/>
      <c r="C40" s="2"/>
      <c r="D40" s="2"/>
      <c r="E40" s="5"/>
      <c r="G40" s="2" t="s">
        <v>101</v>
      </c>
      <c r="H40" s="2"/>
      <c r="I40" s="2"/>
      <c r="J40" s="2"/>
      <c r="K40" s="5"/>
    </row>
    <row r="42" ht="15.35" spans="1:11">
      <c r="A42" s="1" t="s">
        <v>116</v>
      </c>
      <c r="B42" s="1" t="s">
        <v>94</v>
      </c>
      <c r="C42" s="1" t="s">
        <v>95</v>
      </c>
      <c r="D42" s="1" t="s">
        <v>96</v>
      </c>
      <c r="E42" s="1" t="s">
        <v>97</v>
      </c>
      <c r="G42" s="1" t="s">
        <v>117</v>
      </c>
      <c r="H42" s="1" t="s">
        <v>94</v>
      </c>
      <c r="I42" s="1" t="s">
        <v>95</v>
      </c>
      <c r="J42" s="1" t="s">
        <v>96</v>
      </c>
      <c r="K42" s="1" t="s">
        <v>97</v>
      </c>
    </row>
    <row r="43" ht="15.35" spans="1:11">
      <c r="A43" s="2" t="s">
        <v>99</v>
      </c>
      <c r="B43" s="2"/>
      <c r="C43" s="2"/>
      <c r="D43" s="2"/>
      <c r="E43" s="3"/>
      <c r="G43" s="2" t="s">
        <v>99</v>
      </c>
      <c r="H43" s="2"/>
      <c r="I43" s="2"/>
      <c r="J43" s="2"/>
      <c r="K43" s="3"/>
    </row>
    <row r="44" ht="15.35" spans="1:11">
      <c r="A44" s="2" t="s">
        <v>100</v>
      </c>
      <c r="B44" s="2"/>
      <c r="C44" s="2"/>
      <c r="D44" s="2"/>
      <c r="E44" s="4"/>
      <c r="G44" s="2" t="s">
        <v>100</v>
      </c>
      <c r="H44" s="2"/>
      <c r="I44" s="2"/>
      <c r="J44" s="2"/>
      <c r="K44" s="4"/>
    </row>
    <row r="45" ht="15.35" spans="1:11">
      <c r="A45" s="2" t="s">
        <v>101</v>
      </c>
      <c r="B45" s="2"/>
      <c r="C45" s="2"/>
      <c r="D45" s="2"/>
      <c r="E45" s="5"/>
      <c r="G45" s="2" t="s">
        <v>101</v>
      </c>
      <c r="H45" s="2"/>
      <c r="I45" s="2"/>
      <c r="J45" s="2"/>
      <c r="K45" s="5"/>
    </row>
    <row r="47" ht="15.35" spans="1:11">
      <c r="A47" s="1" t="s">
        <v>118</v>
      </c>
      <c r="B47" s="1" t="s">
        <v>94</v>
      </c>
      <c r="C47" s="1" t="s">
        <v>95</v>
      </c>
      <c r="D47" s="1" t="s">
        <v>96</v>
      </c>
      <c r="E47" s="1" t="s">
        <v>97</v>
      </c>
      <c r="G47" s="1" t="s">
        <v>119</v>
      </c>
      <c r="H47" s="1" t="s">
        <v>94</v>
      </c>
      <c r="I47" s="1" t="s">
        <v>95</v>
      </c>
      <c r="J47" s="1" t="s">
        <v>96</v>
      </c>
      <c r="K47" s="1" t="s">
        <v>97</v>
      </c>
    </row>
    <row r="48" ht="15.35" spans="1:11">
      <c r="A48" s="2" t="s">
        <v>99</v>
      </c>
      <c r="B48" s="2"/>
      <c r="C48" s="2"/>
      <c r="D48" s="2"/>
      <c r="E48" s="3"/>
      <c r="G48" s="2" t="s">
        <v>99</v>
      </c>
      <c r="H48" s="2"/>
      <c r="I48" s="2"/>
      <c r="J48" s="2"/>
      <c r="K48" s="3"/>
    </row>
    <row r="49" ht="15.35" spans="1:11">
      <c r="A49" s="2" t="s">
        <v>100</v>
      </c>
      <c r="B49" s="2"/>
      <c r="C49" s="2"/>
      <c r="D49" s="2"/>
      <c r="E49" s="4"/>
      <c r="G49" s="2" t="s">
        <v>100</v>
      </c>
      <c r="H49" s="2"/>
      <c r="I49" s="2"/>
      <c r="J49" s="2"/>
      <c r="K49" s="4"/>
    </row>
    <row r="50" ht="15.35" spans="1:11">
      <c r="A50" s="2" t="s">
        <v>101</v>
      </c>
      <c r="B50" s="2"/>
      <c r="C50" s="2"/>
      <c r="D50" s="2"/>
      <c r="E50" s="5"/>
      <c r="G50" s="2" t="s">
        <v>101</v>
      </c>
      <c r="H50" s="2"/>
      <c r="I50" s="2"/>
      <c r="J50" s="2"/>
      <c r="K50" s="5"/>
    </row>
    <row r="52" ht="15.35" spans="1:11">
      <c r="A52" s="1" t="s">
        <v>120</v>
      </c>
      <c r="B52" s="1" t="s">
        <v>94</v>
      </c>
      <c r="C52" s="1" t="s">
        <v>95</v>
      </c>
      <c r="D52" s="1" t="s">
        <v>96</v>
      </c>
      <c r="E52" s="1" t="s">
        <v>97</v>
      </c>
      <c r="G52" s="1" t="s">
        <v>121</v>
      </c>
      <c r="H52" s="1" t="s">
        <v>94</v>
      </c>
      <c r="I52" s="1" t="s">
        <v>95</v>
      </c>
      <c r="J52" s="1" t="s">
        <v>96</v>
      </c>
      <c r="K52" s="1" t="s">
        <v>97</v>
      </c>
    </row>
    <row r="53" ht="15.35" spans="1:11">
      <c r="A53" s="2" t="s">
        <v>99</v>
      </c>
      <c r="B53" s="2"/>
      <c r="C53" s="2"/>
      <c r="D53" s="2"/>
      <c r="E53" s="3"/>
      <c r="G53" s="2" t="s">
        <v>99</v>
      </c>
      <c r="H53" s="2"/>
      <c r="I53" s="2"/>
      <c r="J53" s="2"/>
      <c r="K53" s="3"/>
    </row>
    <row r="54" ht="15.35" spans="1:11">
      <c r="A54" s="2" t="s">
        <v>100</v>
      </c>
      <c r="B54" s="2"/>
      <c r="C54" s="2"/>
      <c r="D54" s="2"/>
      <c r="E54" s="4"/>
      <c r="G54" s="2" t="s">
        <v>100</v>
      </c>
      <c r="H54" s="2"/>
      <c r="I54" s="2"/>
      <c r="J54" s="2"/>
      <c r="K54" s="4"/>
    </row>
    <row r="55" ht="15.35" spans="1:11">
      <c r="A55" s="2" t="s">
        <v>101</v>
      </c>
      <c r="B55" s="2"/>
      <c r="C55" s="2"/>
      <c r="D55" s="2"/>
      <c r="E55" s="5"/>
      <c r="G55" s="2" t="s">
        <v>101</v>
      </c>
      <c r="H55" s="2"/>
      <c r="I55" s="2"/>
      <c r="J55" s="2"/>
      <c r="K55" s="5"/>
    </row>
    <row r="57" ht="15.35" spans="1:11">
      <c r="A57" s="1" t="s">
        <v>122</v>
      </c>
      <c r="B57" s="1" t="s">
        <v>94</v>
      </c>
      <c r="C57" s="1" t="s">
        <v>95</v>
      </c>
      <c r="D57" s="1" t="s">
        <v>96</v>
      </c>
      <c r="E57" s="1" t="s">
        <v>97</v>
      </c>
      <c r="G57" s="1" t="s">
        <v>123</v>
      </c>
      <c r="H57" s="1" t="s">
        <v>94</v>
      </c>
      <c r="I57" s="1" t="s">
        <v>95</v>
      </c>
      <c r="J57" s="1" t="s">
        <v>96</v>
      </c>
      <c r="K57" s="1" t="s">
        <v>97</v>
      </c>
    </row>
    <row r="58" ht="15.35" spans="1:11">
      <c r="A58" s="2" t="s">
        <v>99</v>
      </c>
      <c r="B58" s="2"/>
      <c r="C58" s="2"/>
      <c r="D58" s="2"/>
      <c r="E58" s="3"/>
      <c r="G58" s="2" t="s">
        <v>99</v>
      </c>
      <c r="H58" s="2"/>
      <c r="I58" s="2"/>
      <c r="J58" s="2"/>
      <c r="K58" s="3"/>
    </row>
    <row r="59" ht="15.35" spans="1:11">
      <c r="A59" s="2" t="s">
        <v>100</v>
      </c>
      <c r="B59" s="2"/>
      <c r="C59" s="2"/>
      <c r="D59" s="2"/>
      <c r="E59" s="4"/>
      <c r="G59" s="2" t="s">
        <v>100</v>
      </c>
      <c r="H59" s="2"/>
      <c r="I59" s="2"/>
      <c r="J59" s="2"/>
      <c r="K59" s="4"/>
    </row>
    <row r="60" ht="15.35" spans="1:11">
      <c r="A60" s="2" t="s">
        <v>101</v>
      </c>
      <c r="B60" s="2"/>
      <c r="C60" s="2"/>
      <c r="D60" s="2"/>
      <c r="E60" s="5"/>
      <c r="G60" s="2" t="s">
        <v>101</v>
      </c>
      <c r="H60" s="2"/>
      <c r="I60" s="2"/>
      <c r="J60" s="2"/>
      <c r="K60" s="5"/>
    </row>
    <row r="62" ht="15.35" spans="1:11">
      <c r="A62" s="1" t="s">
        <v>124</v>
      </c>
      <c r="B62" s="1" t="s">
        <v>94</v>
      </c>
      <c r="C62" s="1" t="s">
        <v>95</v>
      </c>
      <c r="D62" s="1" t="s">
        <v>96</v>
      </c>
      <c r="E62" s="1" t="s">
        <v>97</v>
      </c>
      <c r="G62" s="1" t="s">
        <v>125</v>
      </c>
      <c r="H62" s="1" t="s">
        <v>94</v>
      </c>
      <c r="I62" s="1" t="s">
        <v>95</v>
      </c>
      <c r="J62" s="1" t="s">
        <v>96</v>
      </c>
      <c r="K62" s="1" t="s">
        <v>97</v>
      </c>
    </row>
    <row r="63" ht="15.35" spans="1:11">
      <c r="A63" s="2" t="s">
        <v>99</v>
      </c>
      <c r="B63" s="2"/>
      <c r="C63" s="2"/>
      <c r="D63" s="2"/>
      <c r="E63" s="3"/>
      <c r="G63" s="2" t="s">
        <v>99</v>
      </c>
      <c r="H63" s="2"/>
      <c r="I63" s="2"/>
      <c r="J63" s="2"/>
      <c r="K63" s="3"/>
    </row>
    <row r="64" ht="15.35" spans="1:11">
      <c r="A64" s="2" t="s">
        <v>100</v>
      </c>
      <c r="B64" s="2"/>
      <c r="C64" s="2"/>
      <c r="D64" s="2"/>
      <c r="E64" s="4"/>
      <c r="G64" s="2" t="s">
        <v>100</v>
      </c>
      <c r="H64" s="2"/>
      <c r="I64" s="2"/>
      <c r="J64" s="2"/>
      <c r="K64" s="4"/>
    </row>
    <row r="65" ht="15.35" spans="1:11">
      <c r="A65" s="2" t="s">
        <v>101</v>
      </c>
      <c r="B65" s="2"/>
      <c r="C65" s="2"/>
      <c r="D65" s="2"/>
      <c r="E65" s="5"/>
      <c r="G65" s="2" t="s">
        <v>101</v>
      </c>
      <c r="H65" s="2"/>
      <c r="I65" s="2"/>
      <c r="J65" s="2"/>
      <c r="K65" s="5"/>
    </row>
    <row r="67" ht="15.35" spans="1:11">
      <c r="A67" s="1" t="s">
        <v>126</v>
      </c>
      <c r="B67" s="1" t="s">
        <v>94</v>
      </c>
      <c r="C67" s="1" t="s">
        <v>95</v>
      </c>
      <c r="D67" s="1" t="s">
        <v>96</v>
      </c>
      <c r="E67" s="1" t="s">
        <v>97</v>
      </c>
      <c r="G67" s="1" t="s">
        <v>127</v>
      </c>
      <c r="H67" s="1" t="s">
        <v>94</v>
      </c>
      <c r="I67" s="1" t="s">
        <v>95</v>
      </c>
      <c r="J67" s="1" t="s">
        <v>96</v>
      </c>
      <c r="K67" s="1" t="s">
        <v>97</v>
      </c>
    </row>
    <row r="68" ht="15.35" spans="1:11">
      <c r="A68" s="2" t="s">
        <v>99</v>
      </c>
      <c r="B68" s="2"/>
      <c r="C68" s="2"/>
      <c r="D68" s="2"/>
      <c r="E68" s="3"/>
      <c r="G68" s="2" t="s">
        <v>99</v>
      </c>
      <c r="H68" s="2"/>
      <c r="I68" s="2"/>
      <c r="J68" s="2"/>
      <c r="K68" s="3"/>
    </row>
    <row r="69" ht="15.35" spans="1:11">
      <c r="A69" s="2" t="s">
        <v>100</v>
      </c>
      <c r="B69" s="2"/>
      <c r="C69" s="2"/>
      <c r="D69" s="2"/>
      <c r="E69" s="4"/>
      <c r="G69" s="2" t="s">
        <v>100</v>
      </c>
      <c r="H69" s="2"/>
      <c r="I69" s="2"/>
      <c r="J69" s="2"/>
      <c r="K69" s="4"/>
    </row>
    <row r="70" ht="15.35" spans="1:11">
      <c r="A70" s="2" t="s">
        <v>101</v>
      </c>
      <c r="B70" s="2"/>
      <c r="C70" s="2"/>
      <c r="D70" s="2"/>
      <c r="E70" s="5"/>
      <c r="G70" s="2" t="s">
        <v>101</v>
      </c>
      <c r="H70" s="2"/>
      <c r="I70" s="2"/>
      <c r="J70" s="2"/>
      <c r="K70" s="5"/>
    </row>
    <row r="74" ht="15.35" spans="1:11">
      <c r="A74" s="1" t="s">
        <v>128</v>
      </c>
      <c r="B74" s="1" t="s">
        <v>94</v>
      </c>
      <c r="C74" s="1" t="s">
        <v>95</v>
      </c>
      <c r="D74" s="1" t="s">
        <v>96</v>
      </c>
      <c r="E74" s="1" t="s">
        <v>97</v>
      </c>
      <c r="G74" s="1" t="s">
        <v>129</v>
      </c>
      <c r="H74" s="1" t="s">
        <v>94</v>
      </c>
      <c r="I74" s="1" t="s">
        <v>95</v>
      </c>
      <c r="J74" s="1" t="s">
        <v>96</v>
      </c>
      <c r="K74" s="1" t="s">
        <v>97</v>
      </c>
    </row>
    <row r="75" ht="15.35" spans="1:11">
      <c r="A75" s="2" t="s">
        <v>99</v>
      </c>
      <c r="B75" s="2"/>
      <c r="C75" s="2"/>
      <c r="D75" s="2"/>
      <c r="E75" s="3"/>
      <c r="G75" s="2" t="s">
        <v>99</v>
      </c>
      <c r="H75" s="2"/>
      <c r="I75" s="2"/>
      <c r="J75" s="2"/>
      <c r="K75" s="3"/>
    </row>
    <row r="76" ht="15.35" spans="1:11">
      <c r="A76" s="2" t="s">
        <v>100</v>
      </c>
      <c r="B76" s="2"/>
      <c r="C76" s="2"/>
      <c r="D76" s="2"/>
      <c r="E76" s="4"/>
      <c r="G76" s="2" t="s">
        <v>100</v>
      </c>
      <c r="H76" s="2"/>
      <c r="I76" s="2"/>
      <c r="J76" s="2"/>
      <c r="K76" s="4"/>
    </row>
    <row r="77" ht="15.35" spans="1:11">
      <c r="A77" s="2" t="s">
        <v>101</v>
      </c>
      <c r="B77" s="2"/>
      <c r="C77" s="2"/>
      <c r="D77" s="2"/>
      <c r="E77" s="5"/>
      <c r="G77" s="2" t="s">
        <v>101</v>
      </c>
      <c r="H77" s="2"/>
      <c r="I77" s="2"/>
      <c r="J77" s="2"/>
      <c r="K77" s="5"/>
    </row>
    <row r="79" ht="15.35" spans="1:11">
      <c r="A79" s="1" t="s">
        <v>130</v>
      </c>
      <c r="B79" s="1" t="s">
        <v>94</v>
      </c>
      <c r="C79" s="1" t="s">
        <v>95</v>
      </c>
      <c r="D79" s="1" t="s">
        <v>96</v>
      </c>
      <c r="E79" s="1" t="s">
        <v>97</v>
      </c>
      <c r="G79" s="1" t="s">
        <v>131</v>
      </c>
      <c r="H79" s="1" t="s">
        <v>94</v>
      </c>
      <c r="I79" s="1" t="s">
        <v>95</v>
      </c>
      <c r="J79" s="1" t="s">
        <v>96</v>
      </c>
      <c r="K79" s="1" t="s">
        <v>97</v>
      </c>
    </row>
    <row r="80" ht="15.35" spans="1:11">
      <c r="A80" s="2" t="s">
        <v>99</v>
      </c>
      <c r="B80" s="2"/>
      <c r="C80" s="2"/>
      <c r="D80" s="2"/>
      <c r="E80" s="3"/>
      <c r="G80" s="2" t="s">
        <v>99</v>
      </c>
      <c r="H80" s="2"/>
      <c r="I80" s="2"/>
      <c r="J80" s="2"/>
      <c r="K80" s="3"/>
    </row>
    <row r="81" ht="15.35" spans="1:11">
      <c r="A81" s="2" t="s">
        <v>100</v>
      </c>
      <c r="B81" s="2"/>
      <c r="C81" s="2"/>
      <c r="D81" s="2"/>
      <c r="E81" s="4"/>
      <c r="G81" s="2" t="s">
        <v>100</v>
      </c>
      <c r="H81" s="2"/>
      <c r="I81" s="2"/>
      <c r="J81" s="2"/>
      <c r="K81" s="4"/>
    </row>
    <row r="82" ht="15.35" spans="1:11">
      <c r="A82" s="2" t="s">
        <v>101</v>
      </c>
      <c r="B82" s="2"/>
      <c r="C82" s="2"/>
      <c r="D82" s="2"/>
      <c r="E82" s="5"/>
      <c r="G82" s="2" t="s">
        <v>101</v>
      </c>
      <c r="H82" s="2"/>
      <c r="I82" s="2"/>
      <c r="J82" s="2"/>
      <c r="K82" s="5"/>
    </row>
    <row r="84" ht="15.35" spans="1:11">
      <c r="A84" s="1" t="s">
        <v>132</v>
      </c>
      <c r="B84" s="1" t="s">
        <v>94</v>
      </c>
      <c r="C84" s="1" t="s">
        <v>95</v>
      </c>
      <c r="D84" s="1" t="s">
        <v>96</v>
      </c>
      <c r="E84" s="1" t="s">
        <v>97</v>
      </c>
      <c r="G84" s="1" t="s">
        <v>133</v>
      </c>
      <c r="H84" s="1" t="s">
        <v>94</v>
      </c>
      <c r="I84" s="1" t="s">
        <v>95</v>
      </c>
      <c r="J84" s="1" t="s">
        <v>96</v>
      </c>
      <c r="K84" s="1" t="s">
        <v>97</v>
      </c>
    </row>
    <row r="85" ht="15.35" spans="1:11">
      <c r="A85" s="2" t="s">
        <v>99</v>
      </c>
      <c r="B85" s="2"/>
      <c r="C85" s="2"/>
      <c r="D85" s="2"/>
      <c r="E85" s="3"/>
      <c r="G85" s="2" t="s">
        <v>99</v>
      </c>
      <c r="H85" s="2"/>
      <c r="I85" s="2"/>
      <c r="J85" s="2"/>
      <c r="K85" s="3"/>
    </row>
    <row r="86" ht="15.35" spans="1:11">
      <c r="A86" s="2" t="s">
        <v>100</v>
      </c>
      <c r="B86" s="2"/>
      <c r="C86" s="2"/>
      <c r="D86" s="2"/>
      <c r="E86" s="4"/>
      <c r="G86" s="2" t="s">
        <v>100</v>
      </c>
      <c r="H86" s="2"/>
      <c r="I86" s="2"/>
      <c r="J86" s="2"/>
      <c r="K86" s="4"/>
    </row>
    <row r="87" ht="15.35" spans="1:11">
      <c r="A87" s="2" t="s">
        <v>101</v>
      </c>
      <c r="B87" s="2"/>
      <c r="C87" s="2"/>
      <c r="D87" s="2"/>
      <c r="E87" s="5"/>
      <c r="G87" s="2" t="s">
        <v>101</v>
      </c>
      <c r="H87" s="2"/>
      <c r="I87" s="2"/>
      <c r="J87" s="2"/>
      <c r="K87" s="5"/>
    </row>
    <row r="89" ht="15.35" spans="1:11">
      <c r="A89" s="1" t="s">
        <v>134</v>
      </c>
      <c r="B89" s="1" t="s">
        <v>94</v>
      </c>
      <c r="C89" s="1" t="s">
        <v>95</v>
      </c>
      <c r="D89" s="1" t="s">
        <v>96</v>
      </c>
      <c r="E89" s="1" t="s">
        <v>97</v>
      </c>
      <c r="G89" s="1" t="s">
        <v>135</v>
      </c>
      <c r="H89" s="1" t="s">
        <v>94</v>
      </c>
      <c r="I89" s="1" t="s">
        <v>95</v>
      </c>
      <c r="J89" s="1" t="s">
        <v>96</v>
      </c>
      <c r="K89" s="1" t="s">
        <v>97</v>
      </c>
    </row>
    <row r="90" ht="15.35" spans="1:11">
      <c r="A90" s="2" t="s">
        <v>99</v>
      </c>
      <c r="B90" s="2"/>
      <c r="C90" s="2"/>
      <c r="D90" s="2"/>
      <c r="E90" s="3"/>
      <c r="G90" s="2" t="s">
        <v>99</v>
      </c>
      <c r="H90" s="2"/>
      <c r="I90" s="2"/>
      <c r="J90" s="2"/>
      <c r="K90" s="3"/>
    </row>
    <row r="91" ht="15.35" spans="1:11">
      <c r="A91" s="2" t="s">
        <v>100</v>
      </c>
      <c r="B91" s="2"/>
      <c r="C91" s="2"/>
      <c r="D91" s="2"/>
      <c r="E91" s="4"/>
      <c r="G91" s="2" t="s">
        <v>100</v>
      </c>
      <c r="H91" s="2"/>
      <c r="I91" s="2"/>
      <c r="J91" s="2"/>
      <c r="K91" s="4"/>
    </row>
    <row r="92" ht="15.35" spans="1:11">
      <c r="A92" s="2" t="s">
        <v>101</v>
      </c>
      <c r="B92" s="2"/>
      <c r="C92" s="2"/>
      <c r="D92" s="2"/>
      <c r="E92" s="5"/>
      <c r="G92" s="2" t="s">
        <v>101</v>
      </c>
      <c r="H92" s="2"/>
      <c r="I92" s="2"/>
      <c r="J92" s="2"/>
      <c r="K92" s="5"/>
    </row>
    <row r="94" ht="15.35" spans="1:11">
      <c r="A94" s="1" t="s">
        <v>136</v>
      </c>
      <c r="B94" s="1" t="s">
        <v>94</v>
      </c>
      <c r="C94" s="1" t="s">
        <v>95</v>
      </c>
      <c r="D94" s="1" t="s">
        <v>96</v>
      </c>
      <c r="E94" s="1" t="s">
        <v>97</v>
      </c>
      <c r="G94" s="1" t="s">
        <v>137</v>
      </c>
      <c r="H94" s="1" t="s">
        <v>94</v>
      </c>
      <c r="I94" s="1" t="s">
        <v>95</v>
      </c>
      <c r="J94" s="1" t="s">
        <v>96</v>
      </c>
      <c r="K94" s="1" t="s">
        <v>97</v>
      </c>
    </row>
    <row r="95" ht="15.35" spans="1:11">
      <c r="A95" s="2" t="s">
        <v>99</v>
      </c>
      <c r="B95" s="2"/>
      <c r="C95" s="2"/>
      <c r="D95" s="2"/>
      <c r="E95" s="3"/>
      <c r="G95" s="2" t="s">
        <v>99</v>
      </c>
      <c r="H95" s="2"/>
      <c r="I95" s="2"/>
      <c r="J95" s="2"/>
      <c r="K95" s="3"/>
    </row>
    <row r="96" ht="15.35" spans="1:11">
      <c r="A96" s="2" t="s">
        <v>100</v>
      </c>
      <c r="B96" s="2"/>
      <c r="C96" s="2"/>
      <c r="D96" s="2"/>
      <c r="E96" s="4"/>
      <c r="G96" s="2" t="s">
        <v>100</v>
      </c>
      <c r="H96" s="2"/>
      <c r="I96" s="2"/>
      <c r="J96" s="2"/>
      <c r="K96" s="4"/>
    </row>
    <row r="97" ht="15.35" spans="1:11">
      <c r="A97" s="2" t="s">
        <v>101</v>
      </c>
      <c r="B97" s="2"/>
      <c r="C97" s="2"/>
      <c r="D97" s="2"/>
      <c r="E97" s="5"/>
      <c r="G97" s="2" t="s">
        <v>101</v>
      </c>
      <c r="H97" s="2"/>
      <c r="I97" s="2"/>
      <c r="J97" s="2"/>
      <c r="K97" s="5"/>
    </row>
    <row r="99" ht="15.35" spans="1:11">
      <c r="A99" s="1" t="s">
        <v>138</v>
      </c>
      <c r="B99" s="1" t="s">
        <v>94</v>
      </c>
      <c r="C99" s="1" t="s">
        <v>95</v>
      </c>
      <c r="D99" s="1" t="s">
        <v>96</v>
      </c>
      <c r="E99" s="1" t="s">
        <v>97</v>
      </c>
      <c r="G99" s="1" t="s">
        <v>139</v>
      </c>
      <c r="H99" s="1" t="s">
        <v>94</v>
      </c>
      <c r="I99" s="1" t="s">
        <v>95</v>
      </c>
      <c r="J99" s="1" t="s">
        <v>96</v>
      </c>
      <c r="K99" s="1" t="s">
        <v>97</v>
      </c>
    </row>
    <row r="100" ht="15.35" spans="1:11">
      <c r="A100" s="2" t="s">
        <v>99</v>
      </c>
      <c r="B100" s="2"/>
      <c r="C100" s="2"/>
      <c r="D100" s="2"/>
      <c r="E100" s="3"/>
      <c r="G100" s="2" t="s">
        <v>99</v>
      </c>
      <c r="H100" s="2"/>
      <c r="I100" s="2"/>
      <c r="J100" s="2"/>
      <c r="K100" s="3"/>
    </row>
    <row r="101" ht="15.35" spans="1:11">
      <c r="A101" s="2" t="s">
        <v>100</v>
      </c>
      <c r="B101" s="2"/>
      <c r="C101" s="2"/>
      <c r="D101" s="2"/>
      <c r="E101" s="4"/>
      <c r="G101" s="2" t="s">
        <v>100</v>
      </c>
      <c r="H101" s="2"/>
      <c r="I101" s="2"/>
      <c r="J101" s="2"/>
      <c r="K101" s="4"/>
    </row>
    <row r="102" ht="15.35" spans="1:11">
      <c r="A102" s="2" t="s">
        <v>101</v>
      </c>
      <c r="B102" s="2"/>
      <c r="C102" s="2"/>
      <c r="D102" s="2"/>
      <c r="E102" s="5"/>
      <c r="G102" s="2" t="s">
        <v>101</v>
      </c>
      <c r="H102" s="2"/>
      <c r="I102" s="2"/>
      <c r="J102" s="2"/>
      <c r="K102" s="5"/>
    </row>
    <row r="104" ht="15.35" spans="1:11">
      <c r="A104" s="1" t="s">
        <v>140</v>
      </c>
      <c r="B104" s="1" t="s">
        <v>94</v>
      </c>
      <c r="C104" s="1" t="s">
        <v>95</v>
      </c>
      <c r="D104" s="1" t="s">
        <v>96</v>
      </c>
      <c r="E104" s="1" t="s">
        <v>97</v>
      </c>
      <c r="G104" s="1" t="s">
        <v>141</v>
      </c>
      <c r="H104" s="1" t="s">
        <v>94</v>
      </c>
      <c r="I104" s="1" t="s">
        <v>95</v>
      </c>
      <c r="J104" s="1" t="s">
        <v>96</v>
      </c>
      <c r="K104" s="1" t="s">
        <v>97</v>
      </c>
    </row>
    <row r="105" ht="15.35" spans="1:11">
      <c r="A105" s="2" t="s">
        <v>99</v>
      </c>
      <c r="B105" s="2"/>
      <c r="C105" s="2"/>
      <c r="D105" s="2"/>
      <c r="E105" s="3"/>
      <c r="G105" s="2" t="s">
        <v>99</v>
      </c>
      <c r="H105" s="2"/>
      <c r="I105" s="2"/>
      <c r="J105" s="2"/>
      <c r="K105" s="3"/>
    </row>
    <row r="106" ht="15.35" spans="1:11">
      <c r="A106" s="2" t="s">
        <v>100</v>
      </c>
      <c r="B106" s="2"/>
      <c r="C106" s="2"/>
      <c r="D106" s="2"/>
      <c r="E106" s="4"/>
      <c r="G106" s="2" t="s">
        <v>100</v>
      </c>
      <c r="H106" s="2"/>
      <c r="I106" s="2"/>
      <c r="J106" s="2"/>
      <c r="K106" s="4"/>
    </row>
    <row r="107" ht="15.35" spans="1:11">
      <c r="A107" s="2" t="s">
        <v>101</v>
      </c>
      <c r="B107" s="2"/>
      <c r="C107" s="2"/>
      <c r="D107" s="2"/>
      <c r="E107" s="5"/>
      <c r="G107" s="2" t="s">
        <v>101</v>
      </c>
      <c r="H107" s="2"/>
      <c r="I107" s="2"/>
      <c r="J107" s="2"/>
      <c r="K107" s="5"/>
    </row>
  </sheetData>
  <mergeCells count="42">
    <mergeCell ref="E2:E4"/>
    <mergeCell ref="E7:E9"/>
    <mergeCell ref="E12:E14"/>
    <mergeCell ref="E17:E19"/>
    <mergeCell ref="E22:E24"/>
    <mergeCell ref="E27:E29"/>
    <mergeCell ref="E32:E34"/>
    <mergeCell ref="E38:E40"/>
    <mergeCell ref="E43:E45"/>
    <mergeCell ref="E48:E50"/>
    <mergeCell ref="E53:E55"/>
    <mergeCell ref="E58:E60"/>
    <mergeCell ref="E63:E65"/>
    <mergeCell ref="E68:E70"/>
    <mergeCell ref="E75:E77"/>
    <mergeCell ref="E80:E82"/>
    <mergeCell ref="E85:E87"/>
    <mergeCell ref="E90:E92"/>
    <mergeCell ref="E95:E97"/>
    <mergeCell ref="E100:E102"/>
    <mergeCell ref="E105:E107"/>
    <mergeCell ref="K2:K4"/>
    <mergeCell ref="K7:K9"/>
    <mergeCell ref="K12:K14"/>
    <mergeCell ref="K17:K19"/>
    <mergeCell ref="K22:K24"/>
    <mergeCell ref="K27:K29"/>
    <mergeCell ref="K32:K34"/>
    <mergeCell ref="K38:K40"/>
    <mergeCell ref="K43:K45"/>
    <mergeCell ref="K48:K50"/>
    <mergeCell ref="K53:K55"/>
    <mergeCell ref="K58:K60"/>
    <mergeCell ref="K63:K65"/>
    <mergeCell ref="K68:K70"/>
    <mergeCell ref="K75:K77"/>
    <mergeCell ref="K80:K82"/>
    <mergeCell ref="K85:K87"/>
    <mergeCell ref="K90:K92"/>
    <mergeCell ref="K95:K97"/>
    <mergeCell ref="K100:K102"/>
    <mergeCell ref="K105:K10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问题</vt:lpstr>
      <vt:lpstr>数据分析</vt:lpstr>
      <vt:lpstr>测评结果记录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13692</dc:creator>
  <cp:lastModifiedBy>杨扬</cp:lastModifiedBy>
  <dcterms:created xsi:type="dcterms:W3CDTF">2026-02-26T05:27:00Z</dcterms:created>
  <dcterms:modified xsi:type="dcterms:W3CDTF">2026-03-20T01:51:16Z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2C7F35AE461E4AF9866052514017BADA_11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