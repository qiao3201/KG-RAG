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firstSheet="2" activeTab="5"/>
  </bookViews>
  <sheets>
    <sheet name="测试数据库" sheetId="1" r:id="rId1"/>
    <sheet name="知识图谱项目进展" sheetId="2" r:id="rId2"/>
    <sheet name="纳入文献" sheetId="3" r:id="rId3"/>
    <sheet name="实体及关系类型定义" sheetId="4" r:id="rId4"/>
    <sheet name="表4" sheetId="5" r:id="rId5"/>
    <sheet name="评价标准" sheetId="6" r:id="rId6"/>
    <sheet name="测评问题" sheetId="7" r:id="rId7"/>
    <sheet name="答案测评编码" sheetId="8" r:id="rId8"/>
  </sheets>
  <definedNames>
    <definedName name="_xlnm._FilterDatabase" localSheetId="7" hidden="1">答案测评编码!$B$4:$B$46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<sst xmlns="http://schemas.openxmlformats.org/spreadsheetml/2006/main" count="537" uniqueCount="303">
  <si>
    <t>id</t>
  </si>
  <si>
    <t>user</t>
  </si>
  <si>
    <t>LLM</t>
  </si>
  <si>
    <t>topic</t>
  </si>
  <si>
    <t>question</t>
  </si>
  <si>
    <t>type</t>
  </si>
  <si>
    <t>accuracy</t>
  </si>
  <si>
    <t>relativity</t>
  </si>
  <si>
    <t>reliability</t>
  </si>
  <si>
    <t>best</t>
  </si>
  <si>
    <t>编号</t>
  </si>
  <si>
    <r>
      <rPr>
        <sz val="11"/>
        <color theme="1"/>
        <rFont val="宋体"/>
        <charset val="134"/>
      </rPr>
      <t>测试用户</t>
    </r>
  </si>
  <si>
    <r>
      <rPr>
        <sz val="11"/>
        <color theme="1"/>
        <rFont val="宋体"/>
        <charset val="134"/>
      </rPr>
      <t>大模型系统</t>
    </r>
  </si>
  <si>
    <r>
      <rPr>
        <sz val="11"/>
        <color theme="1"/>
        <rFont val="宋体"/>
        <charset val="134"/>
      </rPr>
      <t>主题</t>
    </r>
  </si>
  <si>
    <t>问题编号</t>
  </si>
  <si>
    <r>
      <rPr>
        <sz val="11"/>
        <color theme="1"/>
        <rFont val="宋体"/>
        <charset val="134"/>
      </rPr>
      <t>问题类型</t>
    </r>
  </si>
  <si>
    <r>
      <rPr>
        <sz val="11"/>
        <color theme="1"/>
        <rFont val="宋体"/>
        <charset val="134"/>
      </rPr>
      <t>准确性</t>
    </r>
  </si>
  <si>
    <r>
      <rPr>
        <sz val="11"/>
        <color theme="1"/>
        <rFont val="宋体"/>
        <charset val="134"/>
      </rPr>
      <t>相关性</t>
    </r>
  </si>
  <si>
    <r>
      <rPr>
        <sz val="11"/>
        <color theme="1"/>
        <rFont val="宋体"/>
        <charset val="134"/>
      </rPr>
      <t>可靠性</t>
    </r>
  </si>
  <si>
    <r>
      <rPr>
        <sz val="11"/>
        <color theme="1"/>
        <rFont val="宋体"/>
        <charset val="134"/>
      </rPr>
      <t>优胜</t>
    </r>
  </si>
  <si>
    <t>01-99</t>
  </si>
  <si>
    <t xml:space="preserve">1= KG+RAG 2 = RAG 3 = LLM  </t>
  </si>
  <si>
    <t>1-7</t>
  </si>
  <si>
    <t>1-42</t>
  </si>
  <si>
    <r>
      <rPr>
        <sz val="11"/>
        <color theme="1"/>
        <rFont val="Times New Roman"/>
        <charset val="134"/>
      </rPr>
      <t>1=</t>
    </r>
    <r>
      <rPr>
        <sz val="11"/>
        <color theme="1"/>
        <rFont val="宋体"/>
        <charset val="134"/>
      </rPr>
      <t>简单</t>
    </r>
    <r>
      <rPr>
        <sz val="11"/>
        <color theme="1"/>
        <rFont val="Times New Roman"/>
        <charset val="134"/>
      </rPr>
      <t xml:space="preserve"> 2=</t>
    </r>
    <r>
      <rPr>
        <sz val="11"/>
        <color theme="1"/>
        <rFont val="宋体"/>
        <charset val="134"/>
      </rPr>
      <t>复杂</t>
    </r>
  </si>
  <si>
    <t>1-5</t>
  </si>
  <si>
    <t>0,1</t>
  </si>
  <si>
    <t>01</t>
  </si>
  <si>
    <t>02</t>
  </si>
  <si>
    <t>合计</t>
  </si>
  <si>
    <r>
      <rPr>
        <sz val="11"/>
        <color theme="1"/>
        <rFont val="宋体"/>
        <charset val="134"/>
      </rPr>
      <t>知识条目</t>
    </r>
  </si>
  <si>
    <r>
      <rPr>
        <sz val="11"/>
        <color theme="1"/>
        <rFont val="宋体"/>
        <charset val="134"/>
      </rPr>
      <t>文献库</t>
    </r>
  </si>
  <si>
    <r>
      <rPr>
        <sz val="11"/>
        <color theme="1"/>
        <rFont val="宋体"/>
        <charset val="134"/>
      </rPr>
      <t>实体数量</t>
    </r>
  </si>
  <si>
    <r>
      <rPr>
        <sz val="11"/>
        <color theme="1"/>
        <rFont val="宋体"/>
        <charset val="134"/>
      </rPr>
      <t>三元组</t>
    </r>
  </si>
  <si>
    <r>
      <rPr>
        <sz val="11"/>
        <color theme="1"/>
        <rFont val="宋体"/>
        <charset val="134"/>
      </rPr>
      <t>实体</t>
    </r>
  </si>
  <si>
    <r>
      <rPr>
        <sz val="11"/>
        <color theme="1"/>
        <rFont val="华文中宋"/>
        <charset val="134"/>
      </rPr>
      <t>禁忌症</t>
    </r>
  </si>
  <si>
    <r>
      <rPr>
        <sz val="11"/>
        <color theme="1"/>
        <rFont val="华文中宋"/>
        <charset val="134"/>
      </rPr>
      <t>运动形式</t>
    </r>
  </si>
  <si>
    <t>纳入文献</t>
  </si>
  <si>
    <t>发表年份</t>
  </si>
  <si>
    <t>证据来源</t>
  </si>
  <si>
    <t>文献类型</t>
  </si>
  <si>
    <t>文献主题</t>
  </si>
  <si>
    <t>文献编码</t>
  </si>
  <si>
    <t>Jankowski 等</t>
  </si>
  <si>
    <t>NCCN</t>
  </si>
  <si>
    <t>指南</t>
  </si>
  <si>
    <t>癌症相关疲乏指南</t>
  </si>
  <si>
    <t>崔译元等</t>
  </si>
  <si>
    <t>中国知网</t>
  </si>
  <si>
    <t>癌因性疲乏中西医结合诊疗指南</t>
  </si>
  <si>
    <t>张剑军等</t>
  </si>
  <si>
    <t>中国癌症相关性疲乏临床实践诊疗指南</t>
  </si>
  <si>
    <t>Ｒiba 等</t>
  </si>
  <si>
    <t>肿瘤患者情绪管理指南</t>
  </si>
  <si>
    <t>Grassi等</t>
  </si>
  <si>
    <t>Pubmed</t>
  </si>
  <si>
    <t>癌症患者睡眠障碍相关指南</t>
  </si>
  <si>
    <t>Rock等</t>
  </si>
  <si>
    <t>医脉通</t>
  </si>
  <si>
    <t>美国癌症协会癌症患者营养和身体活动指南</t>
  </si>
  <si>
    <t>中国康复医学会社区康复工作委员会</t>
  </si>
  <si>
    <t>专家共识</t>
  </si>
  <si>
    <t>社区癌因性疲乏管理的中国专家共识</t>
  </si>
  <si>
    <t>Ｒau 等</t>
  </si>
  <si>
    <t>台湾癌症相关疲乏的管理: 筛查、评估与治疗的循证共识</t>
  </si>
  <si>
    <t>中国抗癌协会癌症康复与姑息治疗专业委员会等</t>
  </si>
  <si>
    <t>万方数据</t>
  </si>
  <si>
    <t>癌症相关性疲乏诊断与治疗中国专家共识</t>
  </si>
  <si>
    <t>中国抗癌协会肿瘤营养专业委员会</t>
  </si>
  <si>
    <t>肿瘤生存者管理专家共识</t>
  </si>
  <si>
    <t>中国抗癌协会肿瘤营养专业委员会等</t>
  </si>
  <si>
    <t>肺癌患者的营养治疗专家共识</t>
  </si>
  <si>
    <t>王淑雅等</t>
  </si>
  <si>
    <t>证据总结</t>
  </si>
  <si>
    <t>肺癌CRF患者居家自我管理的最佳证据总结</t>
  </si>
  <si>
    <t>庄盼盼等</t>
  </si>
  <si>
    <t>中华医学期刊网</t>
  </si>
  <si>
    <t>肿瘤患者癌因性疲乏非药物干预最佳证据总结</t>
  </si>
  <si>
    <t>王婷婷等</t>
  </si>
  <si>
    <t>恶性肿瘤患者癌因性疲乏中医护理干预的证据总结</t>
  </si>
  <si>
    <r>
      <rPr>
        <sz val="11"/>
        <color theme="1"/>
        <rFont val="宋体"/>
        <charset val="134"/>
      </rPr>
      <t>实体类型</t>
    </r>
  </si>
  <si>
    <r>
      <rPr>
        <sz val="11"/>
        <color theme="1"/>
        <rFont val="宋体"/>
        <charset val="134"/>
      </rPr>
      <t>中文含义</t>
    </r>
  </si>
  <si>
    <t>实体名称举例</t>
  </si>
  <si>
    <t>symptom</t>
  </si>
  <si>
    <t>症状</t>
  </si>
  <si>
    <t>癌因性疲乏</t>
  </si>
  <si>
    <t>characteristic</t>
  </si>
  <si>
    <t>疾病特征</t>
  </si>
  <si>
    <t>发病率</t>
  </si>
  <si>
    <t>factor</t>
  </si>
  <si>
    <t>影响因素</t>
  </si>
  <si>
    <t>合并高风险因素</t>
  </si>
  <si>
    <t>tool</t>
  </si>
  <si>
    <t>评估工具</t>
  </si>
  <si>
    <r>
      <rPr>
        <b/>
        <sz val="11"/>
        <color rgb="FF0F1115"/>
        <rFont val="宋体"/>
        <charset val="134"/>
      </rPr>
      <t>简易疲乏量表</t>
    </r>
    <r>
      <rPr>
        <b/>
        <sz val="11"/>
        <color rgb="FF0F1115"/>
        <rFont val="Times New Roman"/>
        <charset val="134"/>
      </rPr>
      <t xml:space="preserve"> (BFI)</t>
    </r>
  </si>
  <si>
    <t>indicator</t>
  </si>
  <si>
    <t>临床指标</t>
  </si>
  <si>
    <t>轻度疲乏</t>
  </si>
  <si>
    <t>therapy</t>
  </si>
  <si>
    <t>治疗措施</t>
  </si>
  <si>
    <t>非药物治疗</t>
  </si>
  <si>
    <t>principle</t>
  </si>
  <si>
    <t>干预原则</t>
  </si>
  <si>
    <t>运动干预原则</t>
  </si>
  <si>
    <r>
      <rPr>
        <sz val="11"/>
        <color rgb="FF0F1115"/>
        <rFont val="宋体"/>
        <charset val="134"/>
      </rPr>
      <t>关系类型</t>
    </r>
  </si>
  <si>
    <r>
      <rPr>
        <sz val="11"/>
        <color rgb="FF0F1115"/>
        <rFont val="宋体"/>
        <charset val="134"/>
      </rPr>
      <t>简称</t>
    </r>
  </si>
  <si>
    <r>
      <rPr>
        <sz val="11"/>
        <color rgb="FF0F1115"/>
        <rFont val="宋体"/>
        <charset val="134"/>
      </rPr>
      <t>中文含义</t>
    </r>
  </si>
  <si>
    <t>CLINICAL_SYMPTOM_OF</t>
  </si>
  <si>
    <t>CH_OF</t>
  </si>
  <si>
    <t>FACTOR_OF</t>
  </si>
  <si>
    <t>FA_OF</t>
  </si>
  <si>
    <t>SELF_EVALUATION_OF</t>
  </si>
  <si>
    <t>SE_OF</t>
  </si>
  <si>
    <t>自我评估</t>
  </si>
  <si>
    <t>CLINICAL_INDICATOR_OF</t>
  </si>
  <si>
    <t>CI_OF</t>
  </si>
  <si>
    <t>RECOMMENDED_FOR</t>
  </si>
  <si>
    <t>RE_FOR</t>
  </si>
  <si>
    <t>推荐</t>
  </si>
  <si>
    <t>PRINCIPLE_OF</t>
  </si>
  <si>
    <t>PR_OF</t>
  </si>
  <si>
    <t>CONTAIN</t>
  </si>
  <si>
    <t>包含</t>
  </si>
  <si>
    <t>OF</t>
  </si>
  <si>
    <t>的</t>
  </si>
  <si>
    <t>IS</t>
  </si>
  <si>
    <t>是</t>
  </si>
  <si>
    <t>主题</t>
  </si>
  <si>
    <t>疾病知识</t>
  </si>
  <si>
    <t>评估处理</t>
  </si>
  <si>
    <t>运动干预</t>
  </si>
  <si>
    <t>营养管理</t>
  </si>
  <si>
    <t>心理干预</t>
  </si>
  <si>
    <t>睡眠管理</t>
  </si>
  <si>
    <t>物理疗法</t>
  </si>
  <si>
    <t>关系类型</t>
  </si>
  <si>
    <t>简称</t>
  </si>
  <si>
    <t>中文含义</t>
  </si>
  <si>
    <t>头实体</t>
  </si>
  <si>
    <t>关系</t>
  </si>
  <si>
    <t>尾实体</t>
  </si>
  <si>
    <t>source_chunk</t>
  </si>
  <si>
    <t>知识条目</t>
  </si>
  <si>
    <t>有氧运动</t>
  </si>
  <si>
    <t>实体</t>
  </si>
  <si>
    <t>阻力运动</t>
  </si>
  <si>
    <t>三元组</t>
  </si>
  <si>
    <t>联合运动</t>
  </si>
  <si>
    <t>禁忌证</t>
  </si>
  <si>
    <t>散步</t>
  </si>
  <si>
    <t>爬楼</t>
  </si>
  <si>
    <t>慢跑</t>
  </si>
  <si>
    <t>游泳</t>
  </si>
  <si>
    <t>骑行</t>
  </si>
  <si>
    <t>实体类型</t>
  </si>
  <si>
    <t>实体名称</t>
  </si>
  <si>
    <t>登山</t>
  </si>
  <si>
    <t>健身操</t>
  </si>
  <si>
    <t>瑜伽</t>
  </si>
  <si>
    <t>快步走</t>
  </si>
  <si>
    <r>
      <rPr>
        <sz val="11"/>
        <color rgb="FF0F1115"/>
        <rFont val="宋体"/>
        <charset val="134"/>
      </rPr>
      <t>简易疲乏量表</t>
    </r>
    <r>
      <rPr>
        <sz val="11"/>
        <color rgb="FF0F1115"/>
        <rFont val="Times New Roman"/>
        <charset val="134"/>
      </rPr>
      <t xml:space="preserve"> (BFI)</t>
    </r>
  </si>
  <si>
    <t>中国传统养生功法</t>
  </si>
  <si>
    <t>哑铃</t>
  </si>
  <si>
    <t>弹力带</t>
  </si>
  <si>
    <t>绳索拉力器</t>
  </si>
  <si>
    <t>维度</t>
  </si>
  <si>
    <t>得分</t>
  </si>
  <si>
    <t>评价依据</t>
  </si>
  <si>
    <t>准确性</t>
  </si>
  <si>
    <r>
      <rPr>
        <sz val="12"/>
        <color rgb="FF0F1115"/>
        <rFont val="宋体"/>
        <charset val="134"/>
      </rPr>
      <t>完全准确，无歧义：</t>
    </r>
    <r>
      <rPr>
        <b/>
        <sz val="12"/>
        <color rgb="FF0F1115"/>
        <rFont val="宋体"/>
        <charset val="134"/>
      </rPr>
      <t>信息与最新权威指南/高质量研究完全一致</t>
    </r>
    <r>
      <rPr>
        <sz val="12"/>
        <color rgb="FF0F1115"/>
        <rFont val="宋体"/>
        <charset val="134"/>
      </rPr>
      <t>，表述精确清晰，无任何可能引起误解的表述。</t>
    </r>
  </si>
  <si>
    <r>
      <rPr>
        <sz val="12"/>
        <color rgb="FF0F1115"/>
        <rFont val="宋体"/>
        <charset val="134"/>
      </rPr>
      <t>基本准确，细节略有偏差：核心信息正确，但可能存在</t>
    </r>
    <r>
      <rPr>
        <b/>
        <sz val="12"/>
        <color rgb="FF0F1115"/>
        <rFont val="宋体"/>
        <charset val="134"/>
      </rPr>
      <t>个别非关键性细节偏差</t>
    </r>
    <r>
      <rPr>
        <sz val="12"/>
        <color rgb="FF0F1115"/>
        <rFont val="宋体"/>
        <charset val="134"/>
      </rPr>
      <t>（如数据范围、次要注意事项），不影响整体理解与应用。</t>
    </r>
  </si>
  <si>
    <r>
      <rPr>
        <sz val="12"/>
        <color rgb="FF0F1115"/>
        <rFont val="宋体"/>
        <charset val="134"/>
      </rPr>
      <t>大体正确，存在模糊表述：内容总体符合医学共识，但存在</t>
    </r>
    <r>
      <rPr>
        <b/>
        <sz val="12"/>
        <color rgb="FF0F1115"/>
        <rFont val="宋体"/>
        <charset val="134"/>
      </rPr>
      <t>表述模糊、不精确或逻辑跳跃之处</t>
    </r>
    <r>
      <rPr>
        <sz val="12"/>
        <color rgb="FF0F1115"/>
        <rFont val="宋体"/>
        <charset val="134"/>
      </rPr>
      <t>，可能引起轻度理解偏差。</t>
    </r>
  </si>
  <si>
    <r>
      <rPr>
        <sz val="12"/>
        <color rgb="FF0F1115"/>
        <rFont val="宋体"/>
        <charset val="134"/>
      </rPr>
      <t>存在明显错误</t>
    </r>
    <r>
      <rPr>
        <sz val="12"/>
        <color rgb="FF0F1115"/>
        <rFont val="宋体"/>
        <charset val="134"/>
      </rPr>
      <t>：部分内容与权威信息不符，包含实质性错误或遗漏关键安全信息，需要修正。</t>
    </r>
  </si>
  <si>
    <r>
      <rPr>
        <sz val="12"/>
        <color rgb="FF0F1115"/>
        <rFont val="宋体"/>
        <charset val="134"/>
      </rPr>
      <t>严重错误，存在风险</t>
    </r>
    <r>
      <rPr>
        <sz val="12"/>
        <color rgb="FF0F1115"/>
        <rFont val="宋体"/>
        <charset val="134"/>
      </rPr>
      <t>：信息严重偏离医学共识，或包含可能对用户造成误导或健康风险的错误陈述。</t>
    </r>
  </si>
  <si>
    <t>相关性</t>
  </si>
  <si>
    <r>
      <rPr>
        <sz val="12"/>
        <color rgb="FF0F1115"/>
        <rFont val="宋体"/>
        <charset val="134"/>
      </rPr>
      <t>高度针对，直接解答：</t>
    </r>
    <r>
      <rPr>
        <b/>
        <sz val="12"/>
        <color rgb="FF0F1115"/>
        <rFont val="宋体"/>
        <charset val="134"/>
      </rPr>
      <t>完全围绕用户核心问题展开</t>
    </r>
    <r>
      <rPr>
        <sz val="12"/>
        <color rgb="FF0F1115"/>
        <rFont val="宋体"/>
        <charset val="134"/>
      </rPr>
      <t>，提供具体、可操作的信息或解决方案，无需用户二次筛选。</t>
    </r>
  </si>
  <si>
    <r>
      <rPr>
        <b/>
        <sz val="12"/>
        <color rgb="FF0F1115"/>
        <rFont val="宋体"/>
        <charset val="134"/>
      </rPr>
      <t>内容相关，需个体化调整</t>
    </r>
    <r>
      <rPr>
        <sz val="12"/>
        <color rgb="FF0F1115"/>
        <rFont val="宋体"/>
        <charset val="134"/>
      </rPr>
      <t>：信息与问题直接相关，但部分建议可能需要根据用户具体情况（如合并症、病程）进行调整，或未完全覆盖问题的所有层面。</t>
    </r>
  </si>
  <si>
    <r>
      <rPr>
        <sz val="12"/>
        <color rgb="FF0F1115"/>
        <rFont val="宋体"/>
        <charset val="134"/>
      </rPr>
      <t>一般性相关，需自行筛选：内容与问题主题相关，但偏于通用知识，</t>
    </r>
    <r>
      <rPr>
        <b/>
        <sz val="12"/>
        <rFont val="宋体"/>
        <charset val="134"/>
      </rPr>
      <t>未特别针对肺癌患者</t>
    </r>
    <r>
      <rPr>
        <sz val="12"/>
        <color rgb="FF0F1115"/>
        <rFont val="宋体"/>
        <charset val="134"/>
      </rPr>
      <t>，需用户自行筛选适用部分。</t>
    </r>
  </si>
  <si>
    <t>相关性较弱：仅少部分内容与问题有关，主体内容偏离核心关切，对解决用户问题参考价值有限。</t>
  </si>
  <si>
    <r>
      <rPr>
        <sz val="12"/>
        <color rgb="FF0F1115"/>
        <rFont val="宋体"/>
        <charset val="134"/>
      </rPr>
      <t>完全无关：内容与肺癌患者</t>
    </r>
    <r>
      <rPr>
        <sz val="12"/>
        <color rgb="FF0F1115"/>
        <rFont val="Times New Roman"/>
        <charset val="134"/>
      </rPr>
      <t>CRF</t>
    </r>
    <r>
      <rPr>
        <sz val="12"/>
        <color rgb="FF0F1115"/>
        <rFont val="宋体"/>
        <charset val="134"/>
      </rPr>
      <t>问题无关，无实际应用价值。</t>
    </r>
  </si>
  <si>
    <t>可靠性</t>
  </si>
  <si>
    <r>
      <rPr>
        <sz val="12"/>
        <color rgb="FF0F1115"/>
        <rFont val="宋体"/>
        <charset val="134"/>
      </rPr>
      <t>权威循证，来源明确：直接引用权威指南或多项高质量研究，</t>
    </r>
    <r>
      <rPr>
        <sz val="12"/>
        <rFont val="宋体"/>
        <charset val="134"/>
      </rPr>
      <t>明确标注来源</t>
    </r>
    <r>
      <rPr>
        <sz val="12"/>
        <color rgb="FF0F1115"/>
        <rFont val="宋体"/>
        <charset val="134"/>
      </rPr>
      <t>，无主观推断。</t>
    </r>
  </si>
  <si>
    <r>
      <rPr>
        <sz val="12"/>
        <color rgb="FF0F1115"/>
        <rFont val="宋体"/>
        <charset val="134"/>
      </rPr>
      <t>基于权威，未标注细节：基于权威来源，但</t>
    </r>
    <r>
      <rPr>
        <b/>
        <sz val="12"/>
        <rFont val="宋体"/>
        <charset val="134"/>
      </rPr>
      <t>但未提供具体引用信息（如版本号、链接）</t>
    </r>
    <r>
      <rPr>
        <sz val="12"/>
        <color rgb="FF0F1115"/>
        <rFont val="宋体"/>
        <charset val="134"/>
      </rPr>
      <t>，内容仍高度可信。</t>
    </r>
  </si>
  <si>
    <r>
      <rPr>
        <sz val="12"/>
        <color rgb="FF0F1115"/>
        <rFont val="宋体"/>
        <charset val="134"/>
      </rPr>
      <t>符合共识，来源一般：内容符合主流医学共识，但未明确引用权威来源，可能来源于综述、教科书、一般文献或临床经验总结；或</t>
    </r>
    <r>
      <rPr>
        <b/>
        <sz val="12"/>
        <color rgb="FF0F1115"/>
        <rFont val="宋体"/>
        <charset val="134"/>
      </rPr>
      <t>可能</t>
    </r>
    <r>
      <rPr>
        <b/>
        <sz val="12"/>
        <color theme="1"/>
        <rFont val="宋体"/>
        <charset val="134"/>
        <scheme val="minor"/>
      </rPr>
      <t>引用虚假文献</t>
    </r>
    <r>
      <rPr>
        <sz val="12"/>
        <color theme="1"/>
        <rFont val="宋体"/>
        <charset val="134"/>
        <scheme val="minor"/>
      </rPr>
      <t>。</t>
    </r>
  </si>
  <si>
    <r>
      <rPr>
        <sz val="12"/>
        <color rgb="FF0F1115"/>
        <rFont val="宋体"/>
        <charset val="134"/>
      </rPr>
      <t>来源不明，存在推测：信息缺乏明确来源，部分内容可能</t>
    </r>
    <r>
      <rPr>
        <b/>
        <sz val="12"/>
        <rFont val="宋体"/>
        <charset val="134"/>
      </rPr>
      <t>与主流医学观点不一致</t>
    </r>
    <r>
      <rPr>
        <sz val="12"/>
        <color rgb="FF0F1115"/>
        <rFont val="宋体"/>
        <charset val="134"/>
      </rPr>
      <t>，存在一定推测或非专业表述。</t>
    </r>
  </si>
  <si>
    <t>明显不可信，存在误导：信息明显不可信，来源不明或为个人主观经验，存在误导性陈述。</t>
  </si>
  <si>
    <t>ID</t>
  </si>
  <si>
    <r>
      <rPr>
        <b/>
        <sz val="11"/>
        <color theme="1"/>
        <rFont val="宋体"/>
        <charset val="134"/>
      </rPr>
      <t>测评问题</t>
    </r>
  </si>
  <si>
    <r>
      <rPr>
        <sz val="11"/>
        <color theme="1"/>
        <rFont val="宋体"/>
        <charset val="134"/>
      </rPr>
      <t>我最近总是感觉很累，就算睡了很久也没精神，这和肺癌有关系吗？</t>
    </r>
  </si>
  <si>
    <r>
      <rPr>
        <sz val="11"/>
        <color theme="1"/>
        <rFont val="宋体"/>
        <charset val="134"/>
      </rPr>
      <t>这种癌症带来的累，和我以前干活累了的感覺一样吗？</t>
    </r>
  </si>
  <si>
    <r>
      <rPr>
        <sz val="11"/>
        <color theme="1"/>
        <rFont val="宋体"/>
        <charset val="134"/>
      </rPr>
      <t>癌因性疲乏一般会持续多久？能完全好吗？</t>
    </r>
  </si>
  <si>
    <r>
      <rPr>
        <sz val="11"/>
        <color rgb="FFFF0000"/>
        <rFont val="宋体"/>
        <charset val="134"/>
      </rPr>
      <t>我已经结束化疗</t>
    </r>
    <r>
      <rPr>
        <sz val="11"/>
        <color rgb="FFFF0000"/>
        <rFont val="Times New Roman"/>
        <charset val="134"/>
      </rPr>
      <t>3</t>
    </r>
    <r>
      <rPr>
        <sz val="11"/>
        <color rgb="FFFF0000"/>
        <rFont val="宋体"/>
        <charset val="134"/>
      </rPr>
      <t>年了，但疲劳感越来越重，这和癌症复发有关系吗？</t>
    </r>
  </si>
  <si>
    <t>我搞不懂为什么癌症好了还会这么累，身体里到底发生了什么？</t>
  </si>
  <si>
    <r>
      <rPr>
        <sz val="11"/>
        <color theme="1"/>
        <rFont val="宋体"/>
        <charset val="134"/>
      </rPr>
      <t>我听说</t>
    </r>
    <r>
      <rPr>
        <sz val="11"/>
        <color theme="1"/>
        <rFont val="Times New Roman"/>
        <charset val="134"/>
      </rPr>
      <t>CRF</t>
    </r>
    <r>
      <rPr>
        <sz val="11"/>
        <color theme="1"/>
        <rFont val="宋体"/>
        <charset val="134"/>
      </rPr>
      <t>和炎症因子有关，该怎么理解这个病理机制？</t>
    </r>
  </si>
  <si>
    <r>
      <rPr>
        <b/>
        <sz val="11"/>
        <color theme="1"/>
        <rFont val="宋体"/>
        <charset val="134"/>
      </rPr>
      <t>我怎么才能知道自己现在的疲乏到底有多严重？</t>
    </r>
  </si>
  <si>
    <r>
      <rPr>
        <sz val="11"/>
        <color theme="1"/>
        <rFont val="宋体"/>
        <charset val="134"/>
      </rPr>
      <t>疲劳到什么程度需要去看医生？</t>
    </r>
  </si>
  <si>
    <r>
      <rPr>
        <sz val="11"/>
        <color rgb="FFFF0000"/>
        <rFont val="宋体"/>
        <charset val="134"/>
      </rPr>
      <t>我最近疲劳感明显，应该先自我评估还是直接去医院？</t>
    </r>
  </si>
  <si>
    <r>
      <rPr>
        <sz val="11"/>
        <color theme="1"/>
        <rFont val="宋体"/>
        <charset val="134"/>
      </rPr>
      <t>我已经尝试了非药物治疗一个月，但疲劳评分从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分升到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分，是不是该考虑药物治疗？</t>
    </r>
  </si>
  <si>
    <r>
      <rPr>
        <sz val="11"/>
        <color theme="1"/>
        <rFont val="宋体"/>
        <charset val="134"/>
      </rPr>
      <t>如果我因为疲劳无法完成日常活动，家人应该如何帮助我进行评估和记录？</t>
    </r>
  </si>
  <si>
    <r>
      <rPr>
        <sz val="11"/>
        <color theme="1"/>
        <rFont val="宋体"/>
        <charset val="134"/>
      </rPr>
      <t>我疲劳程度是中度，但不想吃药，有哪些非药物方法可以先尝试？</t>
    </r>
  </si>
  <si>
    <r>
      <rPr>
        <sz val="11"/>
        <color theme="1"/>
        <rFont val="宋体"/>
        <charset val="134"/>
      </rPr>
      <t>容易疲劳的人适合运动吗？</t>
    </r>
  </si>
  <si>
    <r>
      <rPr>
        <sz val="11"/>
        <color theme="1"/>
        <rFont val="宋体"/>
        <charset val="134"/>
      </rPr>
      <t>我术后体力差，适合做哪些有氧运动？</t>
    </r>
  </si>
  <si>
    <r>
      <rPr>
        <sz val="11"/>
        <color theme="1"/>
        <rFont val="宋体"/>
        <charset val="134"/>
      </rPr>
      <t>如果我的血常规检查说白细胞低了，我还能不能运动？</t>
    </r>
  </si>
  <si>
    <r>
      <rPr>
        <sz val="11"/>
        <color theme="1"/>
        <rFont val="宋体"/>
        <charset val="134"/>
      </rPr>
      <t>我肺癌术后稍微走两步就喘，更别说运动了，这样还能运动吗？</t>
    </r>
  </si>
  <si>
    <r>
      <rPr>
        <sz val="11"/>
        <color theme="1"/>
        <rFont val="宋体"/>
        <charset val="134"/>
      </rPr>
      <t>我有骨转移和骨质疏松，还能做阻力训练吗？哪些动作是绝对禁止的？</t>
    </r>
  </si>
  <si>
    <r>
      <rPr>
        <sz val="11"/>
        <color theme="1"/>
        <rFont val="宋体"/>
        <charset val="134"/>
      </rPr>
      <t>我想同时进行有氧和阻力训练，应该如何安排频率和强度？</t>
    </r>
  </si>
  <si>
    <r>
      <rPr>
        <sz val="11"/>
        <color theme="1"/>
        <rFont val="宋体"/>
        <charset val="134"/>
      </rPr>
      <t>我本身有点胖，确诊后家人让我多补补，但我怕越补越胖，到底该怎么吃？</t>
    </r>
  </si>
  <si>
    <r>
      <rPr>
        <sz val="11"/>
        <color theme="1"/>
        <rFont val="宋体"/>
        <charset val="134"/>
      </rPr>
      <t>我最近瘦了不少，吃饭没胃口，吃一点就饱了，怎么才能把体重补回来？</t>
    </r>
  </si>
  <si>
    <r>
      <rPr>
        <sz val="11"/>
        <color theme="1"/>
        <rFont val="宋体"/>
        <charset val="134"/>
      </rPr>
      <t>我现在体重正常，</t>
    </r>
    <r>
      <rPr>
        <sz val="11"/>
        <color theme="1"/>
        <rFont val="Times New Roman"/>
        <charset val="134"/>
      </rPr>
      <t>BMI 22</t>
    </r>
    <r>
      <rPr>
        <sz val="11"/>
        <color theme="1"/>
        <rFont val="宋体"/>
        <charset val="134"/>
      </rPr>
      <t>，但听说治疗过程中体重会变化。什么情况下需要调整饮食？</t>
    </r>
  </si>
  <si>
    <r>
      <rPr>
        <sz val="11"/>
        <color theme="1"/>
        <rFont val="宋体"/>
        <charset val="134"/>
      </rPr>
      <t>我在化疗期间恶心呕吐严重，体重持续下降，营养管理上应该优先补充什么？</t>
    </r>
  </si>
  <si>
    <t>我化疗后食欲下降，一周的食物搭配有什么推荐？</t>
  </si>
  <si>
    <r>
      <rPr>
        <sz val="11"/>
        <color theme="1"/>
        <rFont val="宋体"/>
        <charset val="134"/>
      </rPr>
      <t>我</t>
    </r>
    <r>
      <rPr>
        <sz val="11"/>
        <color theme="1"/>
        <rFont val="Times New Roman"/>
        <charset val="134"/>
      </rPr>
      <t>BMI</t>
    </r>
    <r>
      <rPr>
        <sz val="11"/>
        <color theme="1"/>
        <rFont val="宋体"/>
        <charset val="134"/>
      </rPr>
      <t>才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，知道要多吃，但就是没胃口，吃一点就饱，怎么办？</t>
    </r>
  </si>
  <si>
    <r>
      <rPr>
        <sz val="11"/>
        <color theme="1"/>
        <rFont val="宋体"/>
        <charset val="134"/>
      </rPr>
      <t>我对认知行为疗法不太了解，它和正念减压有什么区别？</t>
    </r>
  </si>
  <si>
    <r>
      <rPr>
        <sz val="11"/>
        <color theme="1"/>
        <rFont val="宋体"/>
        <charset val="134"/>
      </rPr>
      <t>我最近心情很差，不想去医院，也不想吃药，觉得治了也没用。我知道这样不对，但控制不住。该怎么办？</t>
    </r>
  </si>
  <si>
    <r>
      <rPr>
        <sz val="11"/>
        <color theme="1"/>
        <rFont val="宋体"/>
        <charset val="134"/>
      </rPr>
      <t>我现在是肺癌晚期，身体越来越差，心里有很多恐惧和遗憾，不知道跟谁说。有什么适合我这种情况的心理支持？</t>
    </r>
  </si>
  <si>
    <t>我听说正念减压对缓解癌因性疲乏症状有用，具体怎么做？就是冥想吗？</t>
  </si>
  <si>
    <t>我怕以后症状越来越重，拖累老伴和孩子，这种担心比身体的累还难受。能进行什么心理干预？</t>
  </si>
  <si>
    <r>
      <rPr>
        <sz val="11"/>
        <color theme="1"/>
        <rFont val="宋体"/>
        <charset val="134"/>
      </rPr>
      <t>我晚上总是咳嗽，影响睡眠，有什么建议？</t>
    </r>
  </si>
  <si>
    <r>
      <rPr>
        <sz val="11"/>
        <color theme="1"/>
        <rFont val="宋体"/>
        <charset val="134"/>
      </rPr>
      <t>有没有适合肺癌患者的理疗方法改善睡眠？</t>
    </r>
  </si>
  <si>
    <r>
      <rPr>
        <sz val="11"/>
        <color theme="1"/>
        <rFont val="宋体"/>
        <charset val="134"/>
      </rPr>
      <t>睡前可以做哪些放松活动帮助入睡？</t>
    </r>
  </si>
  <si>
    <t>我确诊后晚上总是睡不好，不知道是不是跟睡眠环境有关，该怎么调整？</t>
  </si>
  <si>
    <t>听说用中药做个香囊贴在肚脐上能助眠，具体有什么成分？</t>
  </si>
  <si>
    <t>我白天因为疲乏就躺着睡，结果晚上精神得很，睡不着，第二天又累，恶性循环。该怎么调整？</t>
  </si>
  <si>
    <r>
      <rPr>
        <sz val="11"/>
        <color theme="1"/>
        <rFont val="宋体"/>
        <charset val="134"/>
      </rPr>
      <t>穴位按摩常用的穴位有哪些？</t>
    </r>
  </si>
  <si>
    <t>我听病友说针灸能缓解疲乏，是真的吗？要扎哪些穴位？</t>
  </si>
  <si>
    <t>艾灸对缓解疲劳有帮助吗？一般灸哪些穴位？</t>
  </si>
  <si>
    <r>
      <rPr>
        <sz val="11"/>
        <color theme="1"/>
        <rFont val="宋体"/>
        <charset val="134"/>
      </rPr>
      <t>我有多处骨转移，还能做推拿按摩吗？哪些部位和手法是安全的？</t>
    </r>
  </si>
  <si>
    <t>有哪些物理疗法可以改善疲乏？</t>
  </si>
  <si>
    <t>中药足浴是什么原理，对改善疲乏有帮助吗？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</si>
  <si>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</si>
  <si>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</si>
  <si>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</si>
  <si>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</si>
  <si>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</si>
  <si>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</si>
  <si>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</si>
  <si>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</si>
  <si>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</si>
  <si>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</si>
  <si>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</si>
  <si>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</si>
  <si>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角</t>
  </si>
  <si>
    <t>亢</t>
  </si>
  <si>
    <t>氐</t>
  </si>
  <si>
    <t>房</t>
  </si>
  <si>
    <t>心</t>
  </si>
  <si>
    <t>尾</t>
  </si>
  <si>
    <t>箕</t>
  </si>
  <si>
    <t>井</t>
  </si>
  <si>
    <t>鬼</t>
  </si>
  <si>
    <t>柳</t>
  </si>
  <si>
    <t>星</t>
  </si>
  <si>
    <t>张</t>
  </si>
  <si>
    <t>翼</t>
  </si>
  <si>
    <t>轸</t>
  </si>
  <si>
    <t>问题1</t>
  </si>
  <si>
    <t>问题2</t>
  </si>
  <si>
    <t>213</t>
  </si>
  <si>
    <t>问题3</t>
  </si>
  <si>
    <t>321</t>
  </si>
  <si>
    <t>问题4</t>
  </si>
  <si>
    <t>问题5</t>
  </si>
  <si>
    <t>问题6</t>
  </si>
  <si>
    <t>问题7</t>
  </si>
  <si>
    <t>问题8</t>
  </si>
  <si>
    <t>123</t>
  </si>
  <si>
    <t>问题9</t>
  </si>
  <si>
    <t>问题10</t>
  </si>
  <si>
    <t>问题11</t>
  </si>
  <si>
    <t>231</t>
  </si>
  <si>
    <t>问题12</t>
  </si>
  <si>
    <t>问题13</t>
  </si>
  <si>
    <t>问题14</t>
  </si>
  <si>
    <t>132</t>
  </si>
  <si>
    <t>问题15</t>
  </si>
  <si>
    <t>问题16</t>
  </si>
  <si>
    <t>问题17</t>
  </si>
  <si>
    <t>问题18</t>
  </si>
  <si>
    <t>312</t>
  </si>
  <si>
    <t>问题19</t>
  </si>
  <si>
    <t>问题20</t>
  </si>
  <si>
    <t>问题21</t>
  </si>
  <si>
    <t>问题22</t>
  </si>
  <si>
    <t>问题23</t>
  </si>
  <si>
    <t>问题24</t>
  </si>
  <si>
    <t>问题25</t>
  </si>
  <si>
    <t>问题26</t>
  </si>
  <si>
    <t>问题27</t>
  </si>
  <si>
    <t>问题28</t>
  </si>
  <si>
    <t>问题29</t>
  </si>
  <si>
    <t>问题30</t>
  </si>
  <si>
    <t>问题31</t>
  </si>
  <si>
    <t>问题32</t>
  </si>
  <si>
    <t>问题33</t>
  </si>
  <si>
    <t>问题34</t>
  </si>
  <si>
    <t>问题35</t>
  </si>
  <si>
    <t>问题36</t>
  </si>
  <si>
    <t>问题37</t>
  </si>
  <si>
    <t>问题38</t>
  </si>
  <si>
    <t>问题39</t>
  </si>
  <si>
    <t>问题40</t>
  </si>
  <si>
    <t>问题41</t>
  </si>
  <si>
    <t>问题42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</si>
</sst>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华文中宋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0F1115"/>
      <name val="宋体"/>
      <charset val="134"/>
    </font>
    <font>
      <sz val="12"/>
      <color rgb="FF0F1115"/>
      <name val="Times New Roman"/>
      <charset val="134"/>
    </font>
    <font>
      <b/>
      <sz val="12"/>
      <color rgb="FF0F1115"/>
      <name val="宋体"/>
      <charset val="134"/>
    </font>
    <font>
      <b/>
      <sz val="11"/>
      <color theme="1"/>
      <name val="宋体"/>
      <charset val="134"/>
    </font>
    <font>
      <b/>
      <sz val="11"/>
      <color rgb="FF0F1115"/>
      <name val="宋体"/>
      <charset val="134"/>
    </font>
    <font>
      <b/>
      <sz val="11.25"/>
      <color rgb="FF0F1115"/>
      <name val="宋体"/>
      <charset val="134"/>
    </font>
    <font>
      <sz val="11"/>
      <color rgb="FF0F1115"/>
      <name val="Times New Roman"/>
      <charset val="134"/>
    </font>
    <font>
      <sz val="11"/>
      <color rgb="FF0F1115"/>
      <name val="宋体"/>
      <charset val="134"/>
    </font>
    <font>
      <b/>
      <sz val="11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8" borderId="27" applyNumberFormat="0" applyAlignment="0" applyProtection="0">
      <alignment vertical="center"/>
    </xf>
    <xf numFmtId="0" fontId="28" fillId="19" borderId="28" applyNumberFormat="0" applyAlignment="0" applyProtection="0">
      <alignment vertical="center"/>
    </xf>
    <xf numFmtId="0" fontId="29" fillId="19" borderId="27" applyNumberFormat="0" applyAlignment="0" applyProtection="0">
      <alignment vertical="center"/>
    </xf>
    <xf numFmtId="0" fontId="30" fillId="20" borderId="29" applyNumberFormat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3" fillId="1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6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3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0" borderId="21" xfId="0" applyFont="1" applyBorder="1" applyAlignment="1" quotePrefix="1">
      <alignment horizontal="center" vertical="center"/>
    </xf>
    <xf numFmtId="0" fontId="2" fillId="0" borderId="2" xfId="0" applyFont="1" applyBorder="1" applyAlignment="1" quotePrefix="1">
      <alignment horizontal="center" vertical="center"/>
    </xf>
    <xf numFmtId="0" fontId="2" fillId="0" borderId="23" xfId="0" applyFont="1" applyBorder="1" applyAlignment="1" quotePrefix="1">
      <alignment horizontal="center" vertical="center"/>
    </xf>
    <xf numFmtId="0" fontId="2" fillId="0" borderId="19" xfId="0" applyFont="1" applyBorder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topLeftCell="A23" workbookViewId="0">
      <selection activeCell="A3" sqref="A3"/>
    </sheetView>
  </sheetViews>
  <sheetFormatPr defaultColWidth="9.02654867256637" defaultRowHeight="13.5"/>
  <cols>
    <col min="3" max="3" width="29.0796460176991" customWidth="1"/>
    <col min="6" max="6" width="12.8849557522124" customWidth="1"/>
    <col min="13" max="13" width="12.8230088495575" customWidth="1"/>
    <col min="14" max="16" width="20.5132743362832" customWidth="1"/>
  </cols>
  <sheetData>
    <row r="1" ht="13.85" spans="1:17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25"/>
      <c r="L1" s="25"/>
      <c r="M1" s="25"/>
      <c r="N1" s="25"/>
      <c r="O1" s="25"/>
      <c r="P1" s="25"/>
      <c r="Q1" s="25"/>
    </row>
    <row r="2" ht="13.85" spans="1:17">
      <c r="A2" s="75" t="s">
        <v>10</v>
      </c>
      <c r="B2" s="74" t="s">
        <v>11</v>
      </c>
      <c r="C2" s="74" t="s">
        <v>12</v>
      </c>
      <c r="D2" s="74" t="s">
        <v>13</v>
      </c>
      <c r="E2" s="75" t="s">
        <v>14</v>
      </c>
      <c r="F2" s="74" t="s">
        <v>15</v>
      </c>
      <c r="G2" s="74" t="s">
        <v>16</v>
      </c>
      <c r="H2" s="74" t="s">
        <v>17</v>
      </c>
      <c r="I2" s="74" t="s">
        <v>18</v>
      </c>
      <c r="J2" s="74" t="s">
        <v>19</v>
      </c>
      <c r="K2" s="25"/>
      <c r="L2" s="25"/>
      <c r="M2" s="25"/>
      <c r="N2" s="25"/>
      <c r="O2" s="25"/>
      <c r="P2" s="25"/>
      <c r="Q2" s="25"/>
    </row>
    <row r="3" ht="14.65" spans="1:17">
      <c r="A3" s="95"/>
      <c r="B3" s="95" t="s">
        <v>20</v>
      </c>
      <c r="C3" s="95" t="s">
        <v>21</v>
      </c>
      <c r="D3" s="96" t="s">
        <v>22</v>
      </c>
      <c r="E3" s="96" t="s">
        <v>23</v>
      </c>
      <c r="F3" s="95" t="s">
        <v>24</v>
      </c>
      <c r="G3" s="96" t="s">
        <v>25</v>
      </c>
      <c r="H3" s="96" t="s">
        <v>25</v>
      </c>
      <c r="I3" s="96" t="s">
        <v>25</v>
      </c>
      <c r="J3" s="95" t="s">
        <v>26</v>
      </c>
      <c r="M3" s="25"/>
      <c r="N3" s="25"/>
      <c r="O3" s="25"/>
      <c r="P3" s="25"/>
    </row>
    <row r="4" ht="13.85" spans="1:17">
      <c r="A4" s="97">
        <v>1</v>
      </c>
      <c r="B4" s="109" t="s">
        <v>27</v>
      </c>
      <c r="C4" s="98">
        <v>3</v>
      </c>
      <c r="D4" s="98">
        <v>1</v>
      </c>
      <c r="E4" s="98">
        <v>1</v>
      </c>
      <c r="F4" s="98">
        <v>1</v>
      </c>
      <c r="G4" s="98">
        <v>5</v>
      </c>
      <c r="H4" s="98">
        <v>5</v>
      </c>
      <c r="I4" s="98">
        <v>5</v>
      </c>
      <c r="J4" s="30">
        <v>1</v>
      </c>
      <c r="M4" s="25"/>
      <c r="N4" s="25"/>
      <c r="O4" s="25"/>
      <c r="P4" s="25"/>
    </row>
    <row r="5" ht="13.85" spans="1:17">
      <c r="A5" s="99">
        <v>2</v>
      </c>
      <c r="B5" s="110" t="s">
        <v>27</v>
      </c>
      <c r="C5" s="28">
        <v>1</v>
      </c>
      <c r="D5" s="28">
        <v>1</v>
      </c>
      <c r="E5" s="28">
        <v>1</v>
      </c>
      <c r="F5" s="28">
        <v>1</v>
      </c>
      <c r="G5" s="28">
        <v>4</v>
      </c>
      <c r="H5" s="28">
        <v>4</v>
      </c>
      <c r="I5" s="28">
        <v>4</v>
      </c>
      <c r="J5" s="32">
        <v>0</v>
      </c>
      <c r="M5" s="25"/>
      <c r="N5" s="25"/>
      <c r="O5" s="25"/>
      <c r="P5" s="25"/>
    </row>
    <row r="6" ht="13.85" spans="1:17">
      <c r="A6" s="99">
        <v>3</v>
      </c>
      <c r="B6" s="110" t="s">
        <v>27</v>
      </c>
      <c r="C6" s="28">
        <v>2</v>
      </c>
      <c r="D6" s="28">
        <v>1</v>
      </c>
      <c r="E6" s="28">
        <v>1</v>
      </c>
      <c r="F6" s="28">
        <v>1</v>
      </c>
      <c r="G6" s="28">
        <v>3</v>
      </c>
      <c r="H6" s="28">
        <v>4</v>
      </c>
      <c r="I6" s="28">
        <v>3</v>
      </c>
      <c r="J6" s="32">
        <v>0</v>
      </c>
      <c r="M6" s="25"/>
      <c r="N6" s="25"/>
      <c r="O6" s="25"/>
      <c r="P6" s="25"/>
    </row>
    <row r="7" ht="13.85" spans="1:17">
      <c r="A7" s="100"/>
      <c r="B7" s="110" t="s">
        <v>27</v>
      </c>
      <c r="C7" s="28">
        <v>3</v>
      </c>
      <c r="D7" s="28">
        <v>1</v>
      </c>
      <c r="E7" s="28">
        <v>4</v>
      </c>
      <c r="F7" s="28">
        <v>2</v>
      </c>
      <c r="J7" s="101"/>
      <c r="M7" s="25"/>
      <c r="N7" s="25"/>
      <c r="O7" s="25"/>
      <c r="P7" s="25"/>
    </row>
    <row r="8" ht="13.85" spans="1:17">
      <c r="A8" s="100"/>
      <c r="B8" s="110" t="s">
        <v>27</v>
      </c>
      <c r="C8" s="28">
        <v>1</v>
      </c>
      <c r="D8" s="28">
        <v>1</v>
      </c>
      <c r="E8" s="28">
        <v>4</v>
      </c>
      <c r="F8" s="28">
        <v>2</v>
      </c>
      <c r="J8" s="101"/>
    </row>
    <row r="9" ht="14.6" spans="1:17">
      <c r="A9" s="102"/>
      <c r="B9" s="111" t="s">
        <v>27</v>
      </c>
      <c r="C9" s="103">
        <v>2</v>
      </c>
      <c r="D9" s="103">
        <v>1</v>
      </c>
      <c r="E9" s="103">
        <v>4</v>
      </c>
      <c r="F9" s="103">
        <v>2</v>
      </c>
      <c r="G9" s="104"/>
      <c r="H9" s="104"/>
      <c r="I9" s="104"/>
      <c r="J9" s="105"/>
    </row>
    <row r="10" ht="13.85" spans="1:17">
      <c r="B10" s="112" t="s">
        <v>27</v>
      </c>
      <c r="C10" s="98">
        <v>3</v>
      </c>
      <c r="D10" s="98">
        <v>2</v>
      </c>
      <c r="E10" s="98">
        <v>7</v>
      </c>
      <c r="F10" s="98">
        <v>1</v>
      </c>
    </row>
    <row r="11" ht="13.85" spans="1:17">
      <c r="B11" s="110" t="s">
        <v>27</v>
      </c>
      <c r="C11" s="28">
        <v>1</v>
      </c>
      <c r="D11" s="28">
        <v>2</v>
      </c>
      <c r="E11" s="28">
        <v>7</v>
      </c>
      <c r="F11" s="28">
        <v>1</v>
      </c>
    </row>
    <row r="12" ht="13.85" spans="1:17">
      <c r="B12" s="110" t="s">
        <v>27</v>
      </c>
      <c r="C12" s="28">
        <v>2</v>
      </c>
      <c r="D12" s="28">
        <v>2</v>
      </c>
      <c r="E12" s="28">
        <v>7</v>
      </c>
      <c r="F12" s="28">
        <v>1</v>
      </c>
    </row>
    <row r="13" ht="13.85" spans="1:17">
      <c r="B13" s="110" t="s">
        <v>27</v>
      </c>
      <c r="C13" s="28">
        <v>3</v>
      </c>
      <c r="D13" s="28">
        <v>2</v>
      </c>
      <c r="E13" s="28">
        <v>10</v>
      </c>
      <c r="F13" s="28">
        <v>2</v>
      </c>
    </row>
    <row r="14" ht="13.85" spans="1:17">
      <c r="B14" s="110" t="s">
        <v>27</v>
      </c>
      <c r="C14" s="28">
        <v>1</v>
      </c>
      <c r="D14" s="28">
        <v>2</v>
      </c>
      <c r="E14" s="28">
        <v>10</v>
      </c>
      <c r="F14" s="28">
        <v>2</v>
      </c>
    </row>
    <row r="15" ht="14.6" spans="1:17">
      <c r="B15" s="110" t="s">
        <v>27</v>
      </c>
      <c r="C15" s="103">
        <v>2</v>
      </c>
      <c r="D15" s="103">
        <v>2</v>
      </c>
      <c r="E15" s="103">
        <v>10</v>
      </c>
      <c r="F15" s="103">
        <v>2</v>
      </c>
    </row>
    <row r="16" ht="13.85" spans="1:17">
      <c r="B16" s="110" t="s">
        <v>27</v>
      </c>
      <c r="C16" s="98">
        <v>3</v>
      </c>
      <c r="D16" s="98">
        <v>3</v>
      </c>
      <c r="E16" s="98">
        <v>13</v>
      </c>
      <c r="F16" s="98">
        <v>1</v>
      </c>
    </row>
    <row r="17" ht="13.85" spans="2:6">
      <c r="B17" s="110" t="s">
        <v>27</v>
      </c>
      <c r="C17" s="28">
        <v>1</v>
      </c>
      <c r="D17" s="28">
        <v>3</v>
      </c>
      <c r="E17" s="28">
        <v>13</v>
      </c>
      <c r="F17" s="28">
        <v>1</v>
      </c>
    </row>
    <row r="18" ht="13.85" spans="2:6">
      <c r="B18" s="110" t="s">
        <v>27</v>
      </c>
      <c r="C18" s="28">
        <v>2</v>
      </c>
      <c r="D18" s="28">
        <v>3</v>
      </c>
      <c r="E18" s="28">
        <v>13</v>
      </c>
      <c r="F18" s="28">
        <v>1</v>
      </c>
    </row>
    <row r="19" ht="13.85" spans="2:6">
      <c r="B19" s="110" t="s">
        <v>27</v>
      </c>
      <c r="C19" s="28">
        <v>3</v>
      </c>
      <c r="D19" s="28">
        <v>3</v>
      </c>
      <c r="E19" s="28">
        <v>16</v>
      </c>
      <c r="F19" s="28">
        <v>2</v>
      </c>
    </row>
    <row r="20" ht="13.85" spans="2:6">
      <c r="B20" s="110" t="s">
        <v>27</v>
      </c>
      <c r="C20" s="28">
        <v>1</v>
      </c>
      <c r="D20" s="28">
        <v>3</v>
      </c>
      <c r="E20" s="28">
        <v>16</v>
      </c>
      <c r="F20" s="28">
        <v>2</v>
      </c>
    </row>
    <row r="21" ht="14.6" spans="2:6">
      <c r="B21" s="110" t="s">
        <v>27</v>
      </c>
      <c r="C21" s="103">
        <v>2</v>
      </c>
      <c r="D21" s="103">
        <v>3</v>
      </c>
      <c r="E21" s="103">
        <v>16</v>
      </c>
      <c r="F21" s="103">
        <v>2</v>
      </c>
    </row>
    <row r="22" ht="13.85" spans="2:6">
      <c r="B22" s="110" t="s">
        <v>27</v>
      </c>
      <c r="C22" s="98">
        <v>3</v>
      </c>
      <c r="D22" s="98">
        <v>4</v>
      </c>
      <c r="E22" s="98">
        <v>19</v>
      </c>
      <c r="F22" s="98">
        <v>1</v>
      </c>
    </row>
    <row r="23" ht="13.85" spans="2:6">
      <c r="B23" s="110" t="s">
        <v>27</v>
      </c>
      <c r="C23" s="28">
        <v>1</v>
      </c>
      <c r="D23" s="28">
        <v>4</v>
      </c>
      <c r="E23" s="28">
        <v>19</v>
      </c>
      <c r="F23" s="28">
        <v>1</v>
      </c>
    </row>
    <row r="24" ht="13.85" spans="2:6">
      <c r="B24" s="110" t="s">
        <v>27</v>
      </c>
      <c r="C24" s="28">
        <v>2</v>
      </c>
      <c r="D24" s="28">
        <v>4</v>
      </c>
      <c r="E24" s="28">
        <v>19</v>
      </c>
      <c r="F24" s="28">
        <v>1</v>
      </c>
    </row>
    <row r="25" ht="13.85" spans="2:6">
      <c r="B25" s="110" t="s">
        <v>27</v>
      </c>
      <c r="C25" s="28">
        <v>3</v>
      </c>
      <c r="D25" s="28">
        <v>4</v>
      </c>
      <c r="E25" s="28">
        <v>22</v>
      </c>
      <c r="F25" s="28">
        <v>2</v>
      </c>
    </row>
    <row r="26" ht="13.85" spans="2:6">
      <c r="B26" s="110" t="s">
        <v>27</v>
      </c>
      <c r="C26" s="28">
        <v>1</v>
      </c>
      <c r="D26" s="28">
        <v>4</v>
      </c>
      <c r="E26" s="28">
        <v>22</v>
      </c>
      <c r="F26" s="28">
        <v>2</v>
      </c>
    </row>
    <row r="27" ht="14.6" spans="2:6">
      <c r="B27" s="110" t="s">
        <v>27</v>
      </c>
      <c r="C27" s="103">
        <v>2</v>
      </c>
      <c r="D27" s="103">
        <v>4</v>
      </c>
      <c r="E27" s="103">
        <v>22</v>
      </c>
      <c r="F27" s="103">
        <v>2</v>
      </c>
    </row>
    <row r="28" ht="13.85" spans="2:6">
      <c r="B28" s="110" t="s">
        <v>27</v>
      </c>
      <c r="C28" s="98">
        <v>3</v>
      </c>
      <c r="D28" s="98">
        <v>5</v>
      </c>
      <c r="E28" s="98">
        <v>25</v>
      </c>
      <c r="F28" s="98">
        <v>1</v>
      </c>
    </row>
    <row r="29" ht="13.85" spans="2:6">
      <c r="B29" s="110" t="s">
        <v>27</v>
      </c>
      <c r="C29" s="28">
        <v>1</v>
      </c>
      <c r="D29" s="28">
        <v>5</v>
      </c>
      <c r="E29" s="28">
        <v>25</v>
      </c>
      <c r="F29" s="28">
        <v>1</v>
      </c>
    </row>
    <row r="30" ht="13.85" spans="2:6">
      <c r="B30" s="110" t="s">
        <v>27</v>
      </c>
      <c r="C30" s="28">
        <v>2</v>
      </c>
      <c r="D30" s="28">
        <v>5</v>
      </c>
      <c r="E30" s="28">
        <v>25</v>
      </c>
      <c r="F30" s="28">
        <v>1</v>
      </c>
    </row>
    <row r="31" ht="13.85" spans="2:6">
      <c r="B31" s="110" t="s">
        <v>27</v>
      </c>
      <c r="C31" s="28">
        <v>3</v>
      </c>
      <c r="D31" s="28">
        <v>5</v>
      </c>
      <c r="E31" s="28">
        <v>28</v>
      </c>
      <c r="F31" s="28">
        <v>2</v>
      </c>
    </row>
    <row r="32" ht="13.85" spans="2:6">
      <c r="B32" s="110" t="s">
        <v>27</v>
      </c>
      <c r="C32" s="28">
        <v>1</v>
      </c>
      <c r="D32" s="28">
        <v>5</v>
      </c>
      <c r="E32" s="28">
        <v>28</v>
      </c>
      <c r="F32" s="28">
        <v>2</v>
      </c>
    </row>
    <row r="33" ht="14.6" spans="1:10">
      <c r="B33" s="110" t="s">
        <v>27</v>
      </c>
      <c r="C33" s="103">
        <v>2</v>
      </c>
      <c r="D33" s="103">
        <v>5</v>
      </c>
      <c r="E33" s="103">
        <v>28</v>
      </c>
      <c r="F33" s="103">
        <v>2</v>
      </c>
    </row>
    <row r="34" ht="13.85" spans="1:10">
      <c r="B34" s="110" t="s">
        <v>27</v>
      </c>
      <c r="C34" s="98">
        <v>3</v>
      </c>
      <c r="D34" s="98">
        <v>6</v>
      </c>
      <c r="E34" s="98">
        <v>31</v>
      </c>
      <c r="F34" s="98">
        <v>1</v>
      </c>
    </row>
    <row r="35" ht="13.85" spans="1:10">
      <c r="B35" s="110" t="s">
        <v>27</v>
      </c>
      <c r="C35" s="28">
        <v>1</v>
      </c>
      <c r="D35" s="28">
        <v>6</v>
      </c>
      <c r="E35" s="28">
        <v>31</v>
      </c>
      <c r="F35" s="28">
        <v>1</v>
      </c>
    </row>
    <row r="36" ht="13.85" spans="1:10">
      <c r="B36" s="110" t="s">
        <v>27</v>
      </c>
      <c r="C36" s="28">
        <v>2</v>
      </c>
      <c r="D36" s="28">
        <v>6</v>
      </c>
      <c r="E36" s="28">
        <v>31</v>
      </c>
      <c r="F36" s="28">
        <v>1</v>
      </c>
    </row>
    <row r="37" ht="13.85" spans="1:10">
      <c r="B37" s="110" t="s">
        <v>27</v>
      </c>
      <c r="C37" s="28">
        <v>3</v>
      </c>
      <c r="D37" s="28">
        <v>6</v>
      </c>
      <c r="E37" s="28">
        <v>34</v>
      </c>
      <c r="F37" s="28">
        <v>2</v>
      </c>
    </row>
    <row r="38" ht="13.85" spans="1:10">
      <c r="B38" s="110" t="s">
        <v>27</v>
      </c>
      <c r="C38" s="28">
        <v>1</v>
      </c>
      <c r="D38" s="28">
        <v>6</v>
      </c>
      <c r="E38" s="28">
        <v>34</v>
      </c>
      <c r="F38" s="28">
        <v>2</v>
      </c>
    </row>
    <row r="39" ht="14.6" spans="1:10">
      <c r="B39" s="110" t="s">
        <v>27</v>
      </c>
      <c r="C39" s="103">
        <v>2</v>
      </c>
      <c r="D39" s="103">
        <v>6</v>
      </c>
      <c r="E39" s="103">
        <v>34</v>
      </c>
      <c r="F39" s="103">
        <v>2</v>
      </c>
    </row>
    <row r="40" ht="13.85" spans="1:10">
      <c r="B40" s="110" t="s">
        <v>27</v>
      </c>
      <c r="C40" s="98">
        <v>3</v>
      </c>
      <c r="D40" s="98">
        <v>7</v>
      </c>
      <c r="E40" s="98">
        <v>37</v>
      </c>
      <c r="F40" s="98">
        <v>1</v>
      </c>
    </row>
    <row r="41" ht="13.85" spans="1:10">
      <c r="B41" s="110" t="s">
        <v>27</v>
      </c>
      <c r="C41" s="28">
        <v>1</v>
      </c>
      <c r="D41" s="28">
        <v>7</v>
      </c>
      <c r="E41" s="28">
        <v>37</v>
      </c>
      <c r="F41" s="28">
        <v>1</v>
      </c>
    </row>
    <row r="42" ht="13.85" spans="1:10">
      <c r="B42" s="110" t="s">
        <v>27</v>
      </c>
      <c r="C42" s="28">
        <v>2</v>
      </c>
      <c r="D42" s="28">
        <v>7</v>
      </c>
      <c r="E42" s="28">
        <v>37</v>
      </c>
      <c r="F42" s="28">
        <v>1</v>
      </c>
    </row>
    <row r="43" ht="13.85" spans="1:10">
      <c r="B43" s="110" t="s">
        <v>27</v>
      </c>
      <c r="C43" s="28">
        <v>3</v>
      </c>
      <c r="D43" s="28">
        <v>7</v>
      </c>
      <c r="E43" s="28">
        <v>40</v>
      </c>
      <c r="F43" s="28">
        <v>2</v>
      </c>
    </row>
    <row r="44" ht="13.85" spans="1:10">
      <c r="B44" s="110" t="s">
        <v>27</v>
      </c>
      <c r="C44" s="28">
        <v>1</v>
      </c>
      <c r="D44" s="28">
        <v>7</v>
      </c>
      <c r="E44" s="28">
        <v>40</v>
      </c>
      <c r="F44" s="28">
        <v>2</v>
      </c>
    </row>
    <row r="45" ht="14.6" spans="1:10">
      <c r="B45" s="110" t="s">
        <v>27</v>
      </c>
      <c r="C45" s="103">
        <v>2</v>
      </c>
      <c r="D45" s="103">
        <v>7</v>
      </c>
      <c r="E45" s="103">
        <v>40</v>
      </c>
      <c r="F45" s="103">
        <v>2</v>
      </c>
    </row>
    <row r="46" ht="13.85" spans="1:10">
      <c r="A46" s="107">
        <v>43</v>
      </c>
      <c r="B46" s="109" t="s">
        <v>28</v>
      </c>
      <c r="C46" s="98">
        <v>3</v>
      </c>
      <c r="D46" s="98">
        <v>1</v>
      </c>
      <c r="E46" s="98">
        <v>1</v>
      </c>
      <c r="F46" s="98">
        <v>1</v>
      </c>
      <c r="G46" s="98">
        <v>5</v>
      </c>
      <c r="H46" s="98">
        <v>5</v>
      </c>
      <c r="I46" s="98">
        <v>5</v>
      </c>
      <c r="J46" s="30">
        <v>1</v>
      </c>
    </row>
    <row r="47" ht="13.85" spans="1:10">
      <c r="A47" s="108">
        <v>44</v>
      </c>
      <c r="B47" s="110" t="s">
        <v>28</v>
      </c>
      <c r="C47" s="28">
        <v>1</v>
      </c>
      <c r="D47" s="28">
        <v>1</v>
      </c>
      <c r="E47" s="28">
        <v>1</v>
      </c>
      <c r="F47" s="28">
        <v>1</v>
      </c>
      <c r="G47" s="28">
        <v>4</v>
      </c>
      <c r="H47" s="28">
        <v>4</v>
      </c>
      <c r="I47" s="28">
        <v>4</v>
      </c>
      <c r="J47" s="32">
        <v>0</v>
      </c>
    </row>
    <row r="48" ht="13.85" spans="1:10">
      <c r="A48" s="108">
        <v>45</v>
      </c>
      <c r="B48" s="110" t="s">
        <v>28</v>
      </c>
      <c r="C48" s="28">
        <v>2</v>
      </c>
      <c r="D48" s="28">
        <v>1</v>
      </c>
      <c r="E48" s="28">
        <v>1</v>
      </c>
      <c r="F48" s="28">
        <v>1</v>
      </c>
      <c r="G48" s="28">
        <v>3</v>
      </c>
      <c r="H48" s="28">
        <v>4</v>
      </c>
      <c r="I48" s="28">
        <v>3</v>
      </c>
      <c r="J48" s="32">
        <v>0</v>
      </c>
    </row>
    <row r="49" ht="13.85" spans="1:10">
      <c r="A49" s="100"/>
      <c r="B49" s="110" t="s">
        <v>28</v>
      </c>
      <c r="C49" s="28">
        <v>3</v>
      </c>
      <c r="D49" s="28">
        <v>1</v>
      </c>
      <c r="E49" s="28">
        <v>4</v>
      </c>
      <c r="F49" s="28">
        <v>2</v>
      </c>
      <c r="J49" s="101"/>
    </row>
    <row r="50" ht="13.85" spans="1:10">
      <c r="A50" s="100"/>
      <c r="B50" s="110" t="s">
        <v>28</v>
      </c>
      <c r="C50" s="28">
        <v>1</v>
      </c>
      <c r="D50" s="28">
        <v>1</v>
      </c>
      <c r="E50" s="28">
        <v>4</v>
      </c>
      <c r="F50" s="28">
        <v>2</v>
      </c>
      <c r="J50" s="101"/>
    </row>
    <row r="51" ht="14.6" spans="1:10">
      <c r="A51" s="102"/>
      <c r="B51" s="111" t="s">
        <v>28</v>
      </c>
      <c r="C51" s="103">
        <v>2</v>
      </c>
      <c r="D51" s="103">
        <v>1</v>
      </c>
      <c r="E51" s="103">
        <v>4</v>
      </c>
      <c r="F51" s="103">
        <v>2</v>
      </c>
      <c r="G51" s="104"/>
      <c r="H51" s="104"/>
      <c r="I51" s="104"/>
      <c r="J51" s="105"/>
    </row>
    <row r="52" ht="13.85" spans="1:10">
      <c r="B52" s="112" t="s">
        <v>28</v>
      </c>
      <c r="C52" s="98">
        <v>3</v>
      </c>
      <c r="D52" s="98">
        <v>2</v>
      </c>
      <c r="E52" s="98">
        <v>7</v>
      </c>
      <c r="F52" s="98">
        <v>1</v>
      </c>
    </row>
    <row r="53" ht="13.85" spans="1:10">
      <c r="B53" s="110" t="s">
        <v>28</v>
      </c>
      <c r="C53" s="28">
        <v>1</v>
      </c>
      <c r="D53" s="28">
        <v>2</v>
      </c>
      <c r="E53" s="28">
        <v>7</v>
      </c>
      <c r="F53" s="28">
        <v>1</v>
      </c>
    </row>
    <row r="54" ht="13.85" spans="1:10">
      <c r="B54" s="110" t="s">
        <v>28</v>
      </c>
      <c r="C54" s="28">
        <v>2</v>
      </c>
      <c r="D54" s="28">
        <v>2</v>
      </c>
      <c r="E54" s="28">
        <v>7</v>
      </c>
      <c r="F54" s="28">
        <v>1</v>
      </c>
    </row>
    <row r="55" ht="13.85" spans="1:10">
      <c r="B55" s="110" t="s">
        <v>28</v>
      </c>
      <c r="C55" s="28">
        <v>3</v>
      </c>
      <c r="D55" s="28">
        <v>2</v>
      </c>
      <c r="E55" s="28">
        <v>10</v>
      </c>
      <c r="F55" s="28">
        <v>2</v>
      </c>
    </row>
    <row r="56" ht="13.85" spans="1:10">
      <c r="B56" s="110" t="s">
        <v>28</v>
      </c>
      <c r="C56" s="28">
        <v>1</v>
      </c>
      <c r="D56" s="28">
        <v>2</v>
      </c>
      <c r="E56" s="28">
        <v>10</v>
      </c>
      <c r="F56" s="28">
        <v>2</v>
      </c>
    </row>
    <row r="57" ht="14.6" spans="1:10">
      <c r="B57" s="110" t="s">
        <v>28</v>
      </c>
      <c r="C57" s="103">
        <v>2</v>
      </c>
      <c r="D57" s="103">
        <v>2</v>
      </c>
      <c r="E57" s="103">
        <v>10</v>
      </c>
      <c r="F57" s="103">
        <v>2</v>
      </c>
    </row>
    <row r="58" ht="13.85" spans="1:10">
      <c r="B58" s="110" t="s">
        <v>28</v>
      </c>
      <c r="C58" s="98">
        <v>3</v>
      </c>
      <c r="D58" s="98">
        <v>3</v>
      </c>
      <c r="E58" s="98">
        <v>13</v>
      </c>
      <c r="F58" s="98">
        <v>1</v>
      </c>
    </row>
    <row r="59" ht="13.85" spans="1:10">
      <c r="B59" s="110" t="s">
        <v>28</v>
      </c>
      <c r="C59" s="28">
        <v>1</v>
      </c>
      <c r="D59" s="28">
        <v>3</v>
      </c>
      <c r="E59" s="28">
        <v>13</v>
      </c>
      <c r="F59" s="28">
        <v>1</v>
      </c>
    </row>
    <row r="60" ht="13.85" spans="1:10">
      <c r="B60" s="110" t="s">
        <v>28</v>
      </c>
      <c r="C60" s="28">
        <v>2</v>
      </c>
      <c r="D60" s="28">
        <v>3</v>
      </c>
      <c r="E60" s="28">
        <v>13</v>
      </c>
      <c r="F60" s="28">
        <v>1</v>
      </c>
    </row>
    <row r="61" ht="13.85" spans="1:10">
      <c r="B61" s="110" t="s">
        <v>28</v>
      </c>
      <c r="C61" s="28">
        <v>3</v>
      </c>
      <c r="D61" s="28">
        <v>3</v>
      </c>
      <c r="E61" s="28">
        <v>16</v>
      </c>
      <c r="F61" s="28">
        <v>2</v>
      </c>
    </row>
    <row r="62" ht="13.85" spans="1:10">
      <c r="B62" s="110" t="s">
        <v>28</v>
      </c>
      <c r="C62" s="28">
        <v>1</v>
      </c>
      <c r="D62" s="28">
        <v>3</v>
      </c>
      <c r="E62" s="28">
        <v>16</v>
      </c>
      <c r="F62" s="28">
        <v>2</v>
      </c>
    </row>
    <row r="63" ht="14.6" spans="1:10">
      <c r="B63" s="110" t="s">
        <v>28</v>
      </c>
      <c r="C63" s="103">
        <v>2</v>
      </c>
      <c r="D63" s="103">
        <v>3</v>
      </c>
      <c r="E63" s="103">
        <v>16</v>
      </c>
      <c r="F63" s="103">
        <v>2</v>
      </c>
    </row>
    <row r="64" ht="13.85" spans="1:10">
      <c r="B64" s="110" t="s">
        <v>28</v>
      </c>
      <c r="C64" s="98">
        <v>3</v>
      </c>
      <c r="D64" s="98">
        <v>4</v>
      </c>
      <c r="E64" s="98">
        <v>19</v>
      </c>
      <c r="F64" s="98">
        <v>1</v>
      </c>
    </row>
    <row r="65" ht="13.85" spans="2:6">
      <c r="B65" s="110" t="s">
        <v>28</v>
      </c>
      <c r="C65" s="28">
        <v>1</v>
      </c>
      <c r="D65" s="28">
        <v>4</v>
      </c>
      <c r="E65" s="28">
        <v>19</v>
      </c>
      <c r="F65" s="28">
        <v>1</v>
      </c>
    </row>
    <row r="66" ht="13.85" spans="2:6">
      <c r="B66" s="110" t="s">
        <v>28</v>
      </c>
      <c r="C66" s="28">
        <v>2</v>
      </c>
      <c r="D66" s="28">
        <v>4</v>
      </c>
      <c r="E66" s="28">
        <v>19</v>
      </c>
      <c r="F66" s="28">
        <v>1</v>
      </c>
    </row>
    <row r="67" ht="13.85" spans="2:6">
      <c r="B67" s="110" t="s">
        <v>28</v>
      </c>
      <c r="C67" s="28">
        <v>3</v>
      </c>
      <c r="D67" s="28">
        <v>4</v>
      </c>
      <c r="E67" s="28">
        <v>22</v>
      </c>
      <c r="F67" s="28">
        <v>2</v>
      </c>
    </row>
    <row r="68" ht="13.85" spans="2:6">
      <c r="B68" s="110" t="s">
        <v>28</v>
      </c>
      <c r="C68" s="28">
        <v>1</v>
      </c>
      <c r="D68" s="28">
        <v>4</v>
      </c>
      <c r="E68" s="28">
        <v>22</v>
      </c>
      <c r="F68" s="28">
        <v>2</v>
      </c>
    </row>
    <row r="69" ht="14.6" spans="2:6">
      <c r="B69" s="110" t="s">
        <v>28</v>
      </c>
      <c r="C69" s="103">
        <v>2</v>
      </c>
      <c r="D69" s="103">
        <v>4</v>
      </c>
      <c r="E69" s="103">
        <v>22</v>
      </c>
      <c r="F69" s="103">
        <v>2</v>
      </c>
    </row>
    <row r="70" ht="13.85" spans="2:6">
      <c r="B70" s="110" t="s">
        <v>28</v>
      </c>
      <c r="C70" s="98">
        <v>3</v>
      </c>
      <c r="D70" s="98">
        <v>5</v>
      </c>
      <c r="E70" s="98">
        <v>25</v>
      </c>
      <c r="F70" s="98">
        <v>1</v>
      </c>
    </row>
    <row r="71" ht="13.85" spans="2:6">
      <c r="B71" s="110" t="s">
        <v>28</v>
      </c>
      <c r="C71" s="28">
        <v>1</v>
      </c>
      <c r="D71" s="28">
        <v>5</v>
      </c>
      <c r="E71" s="28">
        <v>25</v>
      </c>
      <c r="F71" s="28">
        <v>1</v>
      </c>
    </row>
    <row r="72" ht="13.85" spans="2:6">
      <c r="B72" s="110" t="s">
        <v>28</v>
      </c>
      <c r="C72" s="28">
        <v>2</v>
      </c>
      <c r="D72" s="28">
        <v>5</v>
      </c>
      <c r="E72" s="28">
        <v>25</v>
      </c>
      <c r="F72" s="28">
        <v>1</v>
      </c>
    </row>
    <row r="73" ht="13.85" spans="2:6">
      <c r="B73" s="110" t="s">
        <v>28</v>
      </c>
      <c r="C73" s="28">
        <v>3</v>
      </c>
      <c r="D73" s="28">
        <v>5</v>
      </c>
      <c r="E73" s="28">
        <v>28</v>
      </c>
      <c r="F73" s="28">
        <v>2</v>
      </c>
    </row>
    <row r="74" ht="13.85" spans="2:6">
      <c r="B74" s="110" t="s">
        <v>28</v>
      </c>
      <c r="C74" s="28">
        <v>1</v>
      </c>
      <c r="D74" s="28">
        <v>5</v>
      </c>
      <c r="E74" s="28">
        <v>28</v>
      </c>
      <c r="F74" s="28">
        <v>2</v>
      </c>
    </row>
    <row r="75" ht="14.6" spans="2:6">
      <c r="B75" s="110" t="s">
        <v>28</v>
      </c>
      <c r="C75" s="103">
        <v>2</v>
      </c>
      <c r="D75" s="103">
        <v>5</v>
      </c>
      <c r="E75" s="103">
        <v>28</v>
      </c>
      <c r="F75" s="103">
        <v>2</v>
      </c>
    </row>
    <row r="76" ht="13.85" spans="2:6">
      <c r="B76" s="110" t="s">
        <v>28</v>
      </c>
      <c r="C76" s="98">
        <v>3</v>
      </c>
      <c r="D76" s="98">
        <v>6</v>
      </c>
      <c r="E76" s="98">
        <v>31</v>
      </c>
      <c r="F76" s="98">
        <v>1</v>
      </c>
    </row>
    <row r="77" ht="13.85" spans="2:6">
      <c r="B77" s="110" t="s">
        <v>28</v>
      </c>
      <c r="C77" s="28">
        <v>1</v>
      </c>
      <c r="D77" s="28">
        <v>6</v>
      </c>
      <c r="E77" s="28">
        <v>31</v>
      </c>
      <c r="F77" s="28">
        <v>1</v>
      </c>
    </row>
    <row r="78" ht="13.85" spans="2:6">
      <c r="B78" s="110" t="s">
        <v>28</v>
      </c>
      <c r="C78" s="28">
        <v>2</v>
      </c>
      <c r="D78" s="28">
        <v>6</v>
      </c>
      <c r="E78" s="28">
        <v>31</v>
      </c>
      <c r="F78" s="28">
        <v>1</v>
      </c>
    </row>
    <row r="79" ht="13.85" spans="2:6">
      <c r="B79" s="110" t="s">
        <v>28</v>
      </c>
      <c r="C79" s="28">
        <v>3</v>
      </c>
      <c r="D79" s="28">
        <v>6</v>
      </c>
      <c r="E79" s="28">
        <v>34</v>
      </c>
      <c r="F79" s="28">
        <v>2</v>
      </c>
    </row>
    <row r="80" ht="13.85" spans="2:6">
      <c r="B80" s="110" t="s">
        <v>28</v>
      </c>
      <c r="C80" s="28">
        <v>1</v>
      </c>
      <c r="D80" s="28">
        <v>6</v>
      </c>
      <c r="E80" s="28">
        <v>34</v>
      </c>
      <c r="F80" s="28">
        <v>2</v>
      </c>
    </row>
    <row r="81" ht="14.6" spans="2:6">
      <c r="B81" s="110" t="s">
        <v>28</v>
      </c>
      <c r="C81" s="103">
        <v>2</v>
      </c>
      <c r="D81" s="103">
        <v>6</v>
      </c>
      <c r="E81" s="103">
        <v>34</v>
      </c>
      <c r="F81" s="103">
        <v>2</v>
      </c>
    </row>
    <row r="82" ht="13.85" spans="2:6">
      <c r="B82" s="110" t="s">
        <v>28</v>
      </c>
      <c r="C82" s="98">
        <v>3</v>
      </c>
      <c r="D82" s="98">
        <v>7</v>
      </c>
      <c r="E82" s="98">
        <v>37</v>
      </c>
      <c r="F82" s="98">
        <v>1</v>
      </c>
    </row>
    <row r="83" ht="13.85" spans="2:6">
      <c r="B83" s="110" t="s">
        <v>28</v>
      </c>
      <c r="C83" s="28">
        <v>1</v>
      </c>
      <c r="D83" s="28">
        <v>7</v>
      </c>
      <c r="E83" s="28">
        <v>37</v>
      </c>
      <c r="F83" s="28">
        <v>1</v>
      </c>
    </row>
    <row r="84" ht="13.85" spans="2:6">
      <c r="B84" s="110" t="s">
        <v>28</v>
      </c>
      <c r="C84" s="28">
        <v>2</v>
      </c>
      <c r="D84" s="28">
        <v>7</v>
      </c>
      <c r="E84" s="28">
        <v>37</v>
      </c>
      <c r="F84" s="28">
        <v>1</v>
      </c>
    </row>
    <row r="85" ht="13.85" spans="2:6">
      <c r="B85" s="110" t="s">
        <v>28</v>
      </c>
      <c r="C85" s="28">
        <v>3</v>
      </c>
      <c r="D85" s="28">
        <v>7</v>
      </c>
      <c r="E85" s="28">
        <v>40</v>
      </c>
      <c r="F85" s="28">
        <v>2</v>
      </c>
    </row>
    <row r="86" ht="13.85" spans="2:6">
      <c r="B86" s="110" t="s">
        <v>28</v>
      </c>
      <c r="C86" s="28">
        <v>1</v>
      </c>
      <c r="D86" s="28">
        <v>7</v>
      </c>
      <c r="E86" s="28">
        <v>40</v>
      </c>
      <c r="F86" s="28">
        <v>2</v>
      </c>
    </row>
    <row r="87" ht="14.6" spans="2:6">
      <c r="B87" s="110" t="s">
        <v>28</v>
      </c>
      <c r="C87" s="103">
        <v>2</v>
      </c>
      <c r="D87" s="103">
        <v>7</v>
      </c>
      <c r="E87" s="103">
        <v>40</v>
      </c>
      <c r="F87" s="103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topLeftCell="B1" workbookViewId="0">
      <selection activeCell="A3" sqref="A3"/>
    </sheetView>
  </sheetViews>
  <sheetFormatPr defaultColWidth="9.02654867256637" defaultRowHeight="13.85"/>
  <cols>
    <col min="2" max="3" width="10.4955752212389" style="2" customWidth="1"/>
    <col min="4" max="4" width="10.6991150442478" style="2" customWidth="1"/>
    <col min="5" max="6" width="9.02654867256637" style="2"/>
    <col min="7" max="7" width="8.90265486725664" style="25" customWidth="1"/>
    <col min="8" max="10" width="5.58407079646018" style="28" customWidth="1"/>
    <col min="11" max="14" width="5.58407079646018" style="25" customWidth="1"/>
  </cols>
  <sheetData>
    <row r="1" spans="2:15">
      <c r="B1" s="92"/>
      <c r="C1" s="92"/>
      <c r="D1" s="92"/>
      <c r="E1" s="92"/>
      <c r="F1" s="92"/>
      <c r="G1" s="28" t="s">
        <v>13</v>
      </c>
      <c r="H1" s="28">
        <v>1</v>
      </c>
      <c r="I1" s="28">
        <v>2</v>
      </c>
      <c r="J1" s="28">
        <v>3</v>
      </c>
      <c r="K1" s="28">
        <v>4</v>
      </c>
      <c r="L1" s="28">
        <v>5</v>
      </c>
      <c r="M1" s="28">
        <v>6</v>
      </c>
      <c r="N1" s="28">
        <v>7</v>
      </c>
      <c r="O1" s="61" t="s">
        <v>29</v>
      </c>
    </row>
    <row r="2" spans="2:15">
      <c r="B2" s="92"/>
      <c r="C2" s="92"/>
      <c r="D2" s="92"/>
      <c r="E2" s="92"/>
      <c r="F2" s="92"/>
      <c r="G2" s="28" t="s">
        <v>30</v>
      </c>
      <c r="H2" s="28">
        <v>8</v>
      </c>
      <c r="I2" s="28">
        <v>6</v>
      </c>
      <c r="J2" s="28">
        <v>13</v>
      </c>
      <c r="K2" s="28">
        <v>5</v>
      </c>
      <c r="L2" s="28">
        <v>9</v>
      </c>
      <c r="M2" s="28">
        <v>4</v>
      </c>
      <c r="N2" s="28">
        <v>8</v>
      </c>
      <c r="O2" s="28">
        <f>SUM(H2:N2)</f>
        <v>53</v>
      </c>
    </row>
    <row r="3" spans="2:15">
      <c r="B3" s="25" t="s">
        <v>31</v>
      </c>
      <c r="C3" s="93" t="s">
        <v>30</v>
      </c>
      <c r="D3" s="93" t="s">
        <v>32</v>
      </c>
      <c r="E3" s="93" t="s">
        <v>33</v>
      </c>
      <c r="F3" s="92"/>
      <c r="G3" s="28" t="s">
        <v>34</v>
      </c>
      <c r="H3" s="28">
        <v>28</v>
      </c>
      <c r="I3" s="28">
        <v>12</v>
      </c>
      <c r="J3" s="28">
        <v>35</v>
      </c>
      <c r="K3" s="28">
        <v>4</v>
      </c>
      <c r="L3" s="28">
        <v>18</v>
      </c>
      <c r="M3" s="28">
        <v>9</v>
      </c>
      <c r="N3" s="28">
        <v>11</v>
      </c>
      <c r="O3" s="28">
        <f>SUM(H3:N3)</f>
        <v>117</v>
      </c>
    </row>
    <row r="4" spans="2:15">
      <c r="B4" s="25"/>
      <c r="C4" s="93">
        <v>52</v>
      </c>
      <c r="D4" s="93"/>
      <c r="E4" s="93"/>
      <c r="F4" s="92"/>
      <c r="G4" s="28"/>
      <c r="H4" s="28">
        <v>36</v>
      </c>
      <c r="I4" s="28">
        <v>21</v>
      </c>
      <c r="J4" s="28">
        <v>58</v>
      </c>
      <c r="K4" s="28">
        <v>35</v>
      </c>
      <c r="L4" s="28">
        <v>22</v>
      </c>
      <c r="M4" s="28">
        <v>31</v>
      </c>
      <c r="N4" s="28">
        <v>26</v>
      </c>
      <c r="O4" s="28">
        <f>SUM(H4:N4)</f>
        <v>229</v>
      </c>
    </row>
    <row r="5" spans="2:15">
      <c r="B5" s="92"/>
      <c r="C5" s="92"/>
      <c r="D5" s="92"/>
      <c r="E5" s="92"/>
      <c r="F5" s="92"/>
      <c r="G5" s="28" t="s">
        <v>33</v>
      </c>
      <c r="H5" s="28">
        <v>20</v>
      </c>
      <c r="I5" s="28">
        <v>37</v>
      </c>
      <c r="J5" s="28">
        <v>60</v>
      </c>
      <c r="K5" s="28">
        <v>33</v>
      </c>
      <c r="L5" s="28">
        <v>23</v>
      </c>
      <c r="M5" s="28">
        <v>35</v>
      </c>
      <c r="N5" s="28">
        <v>27</v>
      </c>
      <c r="O5" s="28">
        <f>SUM(H5:N5)</f>
        <v>235</v>
      </c>
    </row>
    <row r="6" spans="2:15">
      <c r="B6" s="92"/>
      <c r="C6" s="92"/>
      <c r="D6" s="92"/>
      <c r="E6" s="92"/>
      <c r="F6" s="92"/>
      <c r="G6" s="93"/>
      <c r="H6" s="93"/>
      <c r="I6" s="93"/>
      <c r="J6" s="93"/>
    </row>
    <row r="7" spans="2:15">
      <c r="B7" s="92"/>
      <c r="C7" s="92"/>
      <c r="D7" s="92"/>
      <c r="E7" s="92"/>
      <c r="F7" s="92"/>
      <c r="G7" s="93"/>
      <c r="H7" s="93"/>
      <c r="I7" s="93"/>
      <c r="J7" s="93"/>
    </row>
    <row r="8" spans="2:15">
      <c r="B8" s="92"/>
      <c r="C8" s="92"/>
      <c r="D8" s="92"/>
      <c r="E8" s="92"/>
      <c r="F8" s="92"/>
      <c r="G8" s="93"/>
      <c r="H8" s="93"/>
      <c r="I8" s="93"/>
      <c r="J8" s="93"/>
    </row>
    <row r="9" spans="2:15">
      <c r="B9" s="92"/>
      <c r="C9" s="92"/>
      <c r="D9" s="92"/>
      <c r="E9" s="92"/>
      <c r="F9" s="92"/>
      <c r="G9" s="93"/>
      <c r="H9" s="93"/>
      <c r="I9" s="93"/>
      <c r="J9" s="93"/>
    </row>
    <row r="10" spans="2:15">
      <c r="B10" s="92"/>
      <c r="C10" s="92"/>
      <c r="D10" s="92"/>
      <c r="E10" s="92"/>
      <c r="F10" s="92"/>
      <c r="G10" s="93"/>
      <c r="H10" s="93"/>
      <c r="I10" s="93"/>
      <c r="J10" s="93"/>
    </row>
    <row r="11" spans="2:15">
      <c r="B11" s="92"/>
      <c r="C11" s="92"/>
      <c r="D11" s="92"/>
      <c r="E11" s="92"/>
      <c r="F11" s="92"/>
      <c r="G11" s="93"/>
      <c r="H11" s="93"/>
      <c r="I11" s="93"/>
      <c r="J11" s="93"/>
    </row>
    <row r="12" spans="2:15">
      <c r="B12" s="92"/>
      <c r="C12" s="92"/>
      <c r="D12" s="92"/>
      <c r="E12" s="92"/>
      <c r="F12" s="92"/>
      <c r="G12" s="93"/>
      <c r="H12" s="93"/>
      <c r="I12" s="93"/>
      <c r="J12" s="93"/>
    </row>
    <row r="13" spans="2:15">
      <c r="B13" s="92"/>
      <c r="C13" s="92"/>
      <c r="D13" s="92"/>
      <c r="E13" s="92"/>
      <c r="F13" s="92"/>
      <c r="G13" s="93"/>
      <c r="H13" s="93"/>
      <c r="I13" s="93"/>
      <c r="J13" s="93"/>
    </row>
    <row r="14" spans="2:15">
      <c r="B14" s="92"/>
      <c r="C14" s="92"/>
      <c r="D14" s="92"/>
      <c r="E14" s="92"/>
      <c r="F14" s="92"/>
      <c r="G14" s="93"/>
      <c r="H14" s="93"/>
      <c r="I14" s="93"/>
      <c r="J14" s="93"/>
    </row>
    <row r="15" spans="2:15">
      <c r="B15" s="92"/>
      <c r="C15" s="92"/>
      <c r="D15" s="92"/>
      <c r="E15" s="92"/>
      <c r="F15" s="92"/>
      <c r="G15" s="93"/>
      <c r="H15" s="93"/>
      <c r="I15" s="93"/>
      <c r="J15" s="93"/>
    </row>
    <row r="16" spans="2:15">
      <c r="B16" s="92"/>
      <c r="C16" s="92"/>
      <c r="D16" s="92"/>
      <c r="E16" s="92"/>
      <c r="F16" s="92"/>
      <c r="G16" s="93"/>
      <c r="H16" s="93"/>
      <c r="I16" s="93"/>
      <c r="J16" s="93"/>
    </row>
    <row r="17" spans="2:10">
      <c r="B17" s="92"/>
      <c r="C17" s="92"/>
      <c r="D17" s="92"/>
      <c r="E17" s="92"/>
      <c r="F17" s="92"/>
      <c r="G17" s="93"/>
      <c r="H17" s="93"/>
      <c r="I17" s="93"/>
      <c r="J17" s="93"/>
    </row>
    <row r="18" spans="2:10">
      <c r="B18" s="92"/>
      <c r="C18" s="92"/>
      <c r="D18" s="92"/>
      <c r="E18" s="92"/>
      <c r="F18" s="92"/>
      <c r="G18" s="93"/>
      <c r="H18" s="93"/>
      <c r="I18" s="93"/>
      <c r="J18" s="93"/>
    </row>
    <row r="19" spans="2:10">
      <c r="H19" s="25"/>
      <c r="I19" s="25"/>
      <c r="J19" s="25"/>
    </row>
    <row r="20" spans="2:10">
      <c r="H20" s="25"/>
      <c r="I20" s="25"/>
      <c r="J20" s="25"/>
    </row>
    <row r="21" spans="2:10">
      <c r="H21" s="25"/>
      <c r="I21" s="25"/>
      <c r="J21" s="25"/>
    </row>
    <row r="22" spans="2:10">
      <c r="H22" s="25"/>
      <c r="I22" s="25"/>
      <c r="J22" s="25"/>
    </row>
    <row r="23" spans="2:10">
      <c r="H23" s="25"/>
      <c r="I23" s="25"/>
      <c r="J23" s="25"/>
    </row>
    <row r="24" spans="2:10">
      <c r="H24" s="25"/>
      <c r="I24" s="25"/>
      <c r="J24" s="25"/>
    </row>
    <row r="25" spans="2:10">
      <c r="H25" s="25"/>
      <c r="I25" s="25"/>
      <c r="J25" s="25"/>
    </row>
    <row r="26" spans="2:10">
      <c r="H26" s="25"/>
      <c r="I26" s="25"/>
      <c r="J26" s="25"/>
    </row>
    <row r="27" spans="2:10">
      <c r="H27" s="25"/>
      <c r="I27" s="25"/>
      <c r="J27" s="25"/>
    </row>
    <row r="28" spans="2:10">
      <c r="H28" s="25"/>
      <c r="I28" s="25"/>
      <c r="J28" s="25"/>
    </row>
    <row r="29" spans="2:10">
      <c r="H29" s="25"/>
      <c r="I29" s="25"/>
      <c r="J29" s="25"/>
    </row>
    <row r="30" spans="2:10">
      <c r="H30" s="25"/>
      <c r="I30" s="25"/>
      <c r="J30" s="25"/>
    </row>
    <row r="31" spans="2:10">
      <c r="H31" s="25"/>
      <c r="I31" s="25"/>
      <c r="J31" s="25"/>
    </row>
    <row r="32" spans="2:10">
      <c r="H32" s="25"/>
      <c r="I32" s="25"/>
      <c r="J32" s="25"/>
    </row>
    <row r="33" spans="4:10">
      <c r="H33" s="25"/>
      <c r="I33" s="25"/>
      <c r="J33" s="25"/>
    </row>
    <row r="34" spans="4:10">
      <c r="H34" s="25"/>
      <c r="I34" s="25"/>
      <c r="J34" s="25"/>
    </row>
    <row r="35" spans="4:10">
      <c r="H35" s="25"/>
      <c r="I35" s="25"/>
      <c r="J35" s="25"/>
    </row>
    <row r="36" spans="4:10">
      <c r="H36" s="25"/>
      <c r="I36" s="25"/>
      <c r="J36" s="25"/>
    </row>
    <row r="37" spans="4:10">
      <c r="H37" s="25"/>
      <c r="I37" s="25"/>
      <c r="J37" s="25"/>
    </row>
    <row r="38" spans="4:10">
      <c r="H38" s="25"/>
      <c r="I38" s="25"/>
      <c r="J38" s="25"/>
    </row>
    <row r="39" spans="4:10">
      <c r="H39" s="25"/>
      <c r="I39" s="25"/>
      <c r="J39" s="25"/>
    </row>
    <row r="40" spans="4:10">
      <c r="H40" s="25"/>
      <c r="I40" s="25"/>
      <c r="J40" s="25"/>
    </row>
    <row r="41" spans="4:10">
      <c r="H41" s="25"/>
      <c r="I41" s="25"/>
      <c r="J41" s="25"/>
    </row>
    <row r="42" spans="4:10">
      <c r="H42" s="25"/>
      <c r="I42" s="25"/>
      <c r="J42" s="25"/>
    </row>
    <row r="43" spans="4:10">
      <c r="H43" s="25"/>
      <c r="I43" s="25"/>
      <c r="J43" s="25"/>
    </row>
    <row r="44" spans="4:10">
      <c r="H44" s="25"/>
      <c r="I44" s="25"/>
      <c r="J44" s="25"/>
    </row>
    <row r="45" spans="4:10">
      <c r="H45" s="25"/>
      <c r="I45" s="25"/>
      <c r="J45" s="25"/>
    </row>
    <row r="46" spans="4:10">
      <c r="H46" s="25"/>
      <c r="I46" s="25"/>
      <c r="J46" s="25"/>
    </row>
    <row r="47" spans="4:10">
      <c r="H47" s="25"/>
      <c r="I47" s="25"/>
      <c r="J47" s="25"/>
    </row>
    <row r="48" spans="4:10">
      <c r="D48"/>
      <c r="E48"/>
      <c r="F48"/>
      <c r="H48" s="25"/>
      <c r="I48" s="25"/>
      <c r="J48" s="25"/>
    </row>
    <row r="49" spans="4:10">
      <c r="D49"/>
      <c r="E49"/>
      <c r="F49"/>
      <c r="H49" s="25"/>
      <c r="I49" s="25"/>
      <c r="J49" s="25"/>
    </row>
    <row r="50" spans="4:10">
      <c r="D50"/>
      <c r="E50"/>
      <c r="F50"/>
      <c r="H50" s="25"/>
      <c r="I50" s="25"/>
      <c r="J50" s="25"/>
    </row>
    <row r="51" spans="4:10">
      <c r="D51"/>
      <c r="E51"/>
      <c r="F51"/>
      <c r="H51" s="25"/>
      <c r="I51" s="25"/>
      <c r="J51" s="25"/>
    </row>
    <row r="52" spans="4:10">
      <c r="D52"/>
      <c r="E52"/>
      <c r="F52"/>
      <c r="H52" s="25"/>
      <c r="I52" s="25"/>
      <c r="J52" s="25"/>
    </row>
    <row r="53" spans="4:10">
      <c r="D53"/>
      <c r="E53"/>
      <c r="F53"/>
      <c r="H53" s="25"/>
      <c r="I53" s="25"/>
      <c r="J53" s="25"/>
    </row>
    <row r="54" spans="4:10">
      <c r="H54" s="25"/>
      <c r="I54" s="25"/>
      <c r="J54" s="25"/>
    </row>
    <row r="55" spans="4:10">
      <c r="H55" s="25"/>
      <c r="I55" s="25"/>
      <c r="J55" s="25"/>
    </row>
    <row r="56" spans="4:10">
      <c r="H56" s="25"/>
      <c r="I56" s="25"/>
      <c r="J56" s="25"/>
    </row>
    <row r="57" ht="15.4" spans="4:10">
      <c r="G57" s="94" t="s">
        <v>35</v>
      </c>
      <c r="H57" s="25"/>
      <c r="I57" s="25"/>
      <c r="J57" s="25"/>
    </row>
    <row r="58" spans="4:10">
      <c r="H58" s="25"/>
      <c r="I58" s="25"/>
      <c r="J58" s="25"/>
    </row>
    <row r="59" spans="4:10">
      <c r="H59" s="25"/>
      <c r="I59" s="25"/>
      <c r="J59" s="25"/>
    </row>
    <row r="60" spans="4:10">
      <c r="H60" s="25"/>
      <c r="I60" s="25"/>
      <c r="J60" s="25"/>
    </row>
    <row r="61" spans="4:10">
      <c r="H61" s="25"/>
      <c r="I61" s="25"/>
      <c r="J61" s="25"/>
    </row>
    <row r="62" spans="4:10">
      <c r="H62" s="25"/>
      <c r="I62" s="25"/>
      <c r="J62" s="25"/>
    </row>
    <row r="63" spans="4:10">
      <c r="H63" s="25"/>
      <c r="I63" s="25"/>
      <c r="J63" s="25"/>
    </row>
    <row r="64" spans="4:10">
      <c r="H64" s="25"/>
      <c r="I64" s="25"/>
      <c r="J64" s="25"/>
    </row>
    <row r="65" spans="7:10">
      <c r="H65" s="25"/>
      <c r="I65" s="25"/>
      <c r="J65" s="25"/>
    </row>
    <row r="66" spans="7:10">
      <c r="H66" s="25"/>
      <c r="I66" s="25"/>
      <c r="J66" s="25"/>
    </row>
    <row r="67" spans="7:10">
      <c r="H67" s="25"/>
      <c r="I67" s="25"/>
      <c r="J67" s="25"/>
    </row>
    <row r="75" ht="15.4" spans="7:10">
      <c r="G75" s="94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3" sqref="A3"/>
    </sheetView>
  </sheetViews>
  <sheetFormatPr defaultColWidth="9.02654867256637" defaultRowHeight="15.35" outlineLevelCol="5"/>
  <cols>
    <col min="1" max="1" width="43.6814159292035" style="1" customWidth="1"/>
    <col min="2" max="2" width="9.02654867256637" style="1"/>
    <col min="3" max="3" width="14.0796460176991" style="1" customWidth="1"/>
    <col min="4" max="4" width="9.02654867256637" style="1"/>
    <col min="5" max="5" width="48.5929203539823" style="1" customWidth="1"/>
    <col min="6" max="6" width="9.02654867256637" style="2"/>
  </cols>
  <sheetData>
    <row r="1" spans="1:6">
      <c r="A1" s="89" t="s">
        <v>37</v>
      </c>
      <c r="B1" s="89" t="s">
        <v>38</v>
      </c>
      <c r="C1" s="89" t="s">
        <v>39</v>
      </c>
      <c r="D1" s="89" t="s">
        <v>40</v>
      </c>
      <c r="E1" s="89" t="s">
        <v>41</v>
      </c>
      <c r="F1" s="89" t="s">
        <v>42</v>
      </c>
    </row>
    <row r="2" spans="1:6">
      <c r="A2" s="90" t="s">
        <v>43</v>
      </c>
      <c r="B2" s="90">
        <v>2024</v>
      </c>
      <c r="C2" s="90" t="s">
        <v>44</v>
      </c>
      <c r="D2" s="90" t="s">
        <v>45</v>
      </c>
      <c r="E2" s="91" t="s">
        <v>46</v>
      </c>
      <c r="F2" s="90">
        <v>1</v>
      </c>
    </row>
    <row r="3" spans="1:6">
      <c r="A3" s="90" t="s">
        <v>47</v>
      </c>
      <c r="B3" s="90">
        <v>2025</v>
      </c>
      <c r="C3" s="90" t="s">
        <v>48</v>
      </c>
      <c r="D3" s="90" t="s">
        <v>45</v>
      </c>
      <c r="E3" s="91" t="s">
        <v>49</v>
      </c>
      <c r="F3" s="90">
        <v>2</v>
      </c>
    </row>
    <row r="4" spans="1:6">
      <c r="A4" s="90" t="s">
        <v>50</v>
      </c>
      <c r="B4" s="90">
        <v>2021</v>
      </c>
      <c r="C4" s="90" t="s">
        <v>48</v>
      </c>
      <c r="D4" s="90" t="s">
        <v>45</v>
      </c>
      <c r="E4" s="91" t="s">
        <v>51</v>
      </c>
      <c r="F4" s="90">
        <v>3</v>
      </c>
    </row>
    <row r="5" spans="1:6">
      <c r="A5" s="90" t="s">
        <v>52</v>
      </c>
      <c r="B5" s="90">
        <v>2024</v>
      </c>
      <c r="C5" s="90" t="s">
        <v>44</v>
      </c>
      <c r="D5" s="90" t="s">
        <v>45</v>
      </c>
      <c r="E5" s="91" t="s">
        <v>53</v>
      </c>
      <c r="F5" s="90">
        <v>4</v>
      </c>
    </row>
    <row r="6" spans="1:6">
      <c r="A6" s="90" t="s">
        <v>54</v>
      </c>
      <c r="B6" s="90">
        <v>2023</v>
      </c>
      <c r="C6" s="90" t="s">
        <v>55</v>
      </c>
      <c r="D6" s="90" t="s">
        <v>45</v>
      </c>
      <c r="E6" s="91" t="s">
        <v>56</v>
      </c>
      <c r="F6" s="90">
        <v>5</v>
      </c>
    </row>
    <row r="7" spans="1:6">
      <c r="A7" s="90" t="s">
        <v>57</v>
      </c>
      <c r="B7" s="90">
        <v>2022</v>
      </c>
      <c r="C7" s="90" t="s">
        <v>58</v>
      </c>
      <c r="D7" s="90" t="s">
        <v>45</v>
      </c>
      <c r="E7" s="91" t="s">
        <v>59</v>
      </c>
      <c r="F7" s="90">
        <v>6</v>
      </c>
    </row>
    <row r="8" spans="1:6">
      <c r="A8" s="90" t="s">
        <v>60</v>
      </c>
      <c r="B8" s="90">
        <v>2025</v>
      </c>
      <c r="C8" s="90" t="s">
        <v>48</v>
      </c>
      <c r="D8" s="90" t="s">
        <v>61</v>
      </c>
      <c r="E8" s="91" t="s">
        <v>62</v>
      </c>
      <c r="F8" s="90">
        <v>7</v>
      </c>
    </row>
    <row r="9" spans="1:6">
      <c r="A9" s="90" t="s">
        <v>63</v>
      </c>
      <c r="B9" s="90">
        <v>2023</v>
      </c>
      <c r="C9" s="90" t="s">
        <v>58</v>
      </c>
      <c r="D9" s="90" t="s">
        <v>61</v>
      </c>
      <c r="E9" s="91" t="s">
        <v>64</v>
      </c>
      <c r="F9" s="90">
        <v>8</v>
      </c>
    </row>
    <row r="10" spans="1:6">
      <c r="A10" s="90" t="s">
        <v>65</v>
      </c>
      <c r="B10" s="90">
        <v>2022</v>
      </c>
      <c r="C10" s="90" t="s">
        <v>66</v>
      </c>
      <c r="D10" s="90" t="s">
        <v>61</v>
      </c>
      <c r="E10" s="91" t="s">
        <v>67</v>
      </c>
      <c r="F10" s="90">
        <v>9</v>
      </c>
    </row>
    <row r="11" spans="1:6">
      <c r="A11" s="90" t="s">
        <v>68</v>
      </c>
      <c r="B11" s="90">
        <v>2023</v>
      </c>
      <c r="C11" s="90" t="s">
        <v>48</v>
      </c>
      <c r="D11" s="90" t="s">
        <v>61</v>
      </c>
      <c r="E11" s="15" t="s">
        <v>69</v>
      </c>
      <c r="F11" s="90">
        <v>10</v>
      </c>
    </row>
    <row r="12" spans="1:6">
      <c r="A12" s="90" t="s">
        <v>70</v>
      </c>
      <c r="B12" s="90">
        <v>2023</v>
      </c>
      <c r="C12" s="90" t="s">
        <v>48</v>
      </c>
      <c r="D12" s="90" t="s">
        <v>61</v>
      </c>
      <c r="E12" s="91" t="s">
        <v>71</v>
      </c>
      <c r="F12" s="90">
        <v>11</v>
      </c>
    </row>
    <row r="13" spans="1:6">
      <c r="A13" s="90" t="s">
        <v>72</v>
      </c>
      <c r="B13" s="90">
        <v>2025</v>
      </c>
      <c r="C13" s="90" t="s">
        <v>48</v>
      </c>
      <c r="D13" s="90" t="s">
        <v>73</v>
      </c>
      <c r="E13" s="91" t="s">
        <v>74</v>
      </c>
      <c r="F13" s="90">
        <v>12</v>
      </c>
    </row>
    <row r="14" spans="1:6">
      <c r="A14" s="90" t="s">
        <v>75</v>
      </c>
      <c r="B14" s="90">
        <v>2022</v>
      </c>
      <c r="C14" s="90" t="s">
        <v>76</v>
      </c>
      <c r="D14" s="90" t="s">
        <v>73</v>
      </c>
      <c r="E14" s="91" t="s">
        <v>77</v>
      </c>
      <c r="F14" s="90">
        <v>13</v>
      </c>
    </row>
    <row r="15" spans="1:6">
      <c r="A15" s="90" t="s">
        <v>78</v>
      </c>
      <c r="B15" s="90">
        <v>2022</v>
      </c>
      <c r="C15" s="90" t="s">
        <v>48</v>
      </c>
      <c r="D15" s="90" t="s">
        <v>73</v>
      </c>
      <c r="E15" s="91" t="s">
        <v>79</v>
      </c>
      <c r="F15" s="90">
        <v>14</v>
      </c>
    </row>
    <row r="26" spans="4:4">
      <c r="D26" s="1" t="s">
        <v>45</v>
      </c>
    </row>
    <row r="27" spans="4:4">
      <c r="D27" s="1" t="s">
        <v>61</v>
      </c>
    </row>
    <row r="28" spans="4:4">
      <c r="D28" s="1" t="s">
        <v>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3" sqref="A3"/>
    </sheetView>
  </sheetViews>
  <sheetFormatPr defaultColWidth="9.02654867256637" defaultRowHeight="13.85" outlineLevelCol="2"/>
  <cols>
    <col min="1" max="1" width="20.787610619469" style="25" customWidth="1"/>
    <col min="2" max="3" width="19.6548672566372" style="25" customWidth="1"/>
  </cols>
  <sheetData>
    <row r="1" ht="13.5" spans="1:3">
      <c r="A1" s="74" t="s">
        <v>80</v>
      </c>
      <c r="B1" s="74" t="s">
        <v>81</v>
      </c>
      <c r="C1" s="75" t="s">
        <v>82</v>
      </c>
    </row>
    <row r="2" ht="13.5" spans="1:3">
      <c r="A2" s="76" t="s">
        <v>83</v>
      </c>
      <c r="B2" s="77" t="s">
        <v>84</v>
      </c>
      <c r="C2" s="77" t="s">
        <v>85</v>
      </c>
    </row>
    <row r="3" ht="13.9" spans="1:3">
      <c r="A3" s="78" t="s">
        <v>86</v>
      </c>
      <c r="B3" s="77" t="s">
        <v>87</v>
      </c>
      <c r="C3" s="77" t="s">
        <v>88</v>
      </c>
    </row>
    <row r="4" ht="13.5" spans="1:3">
      <c r="A4" s="79" t="s">
        <v>89</v>
      </c>
      <c r="B4" s="77" t="s">
        <v>90</v>
      </c>
      <c r="C4" s="77" t="s">
        <v>91</v>
      </c>
    </row>
    <row r="5" ht="13.5" spans="1:3">
      <c r="A5" s="80" t="s">
        <v>92</v>
      </c>
      <c r="B5" s="77" t="s">
        <v>93</v>
      </c>
      <c r="C5" s="77" t="s">
        <v>94</v>
      </c>
    </row>
    <row r="6" ht="13.5" spans="1:3">
      <c r="A6" s="81" t="s">
        <v>95</v>
      </c>
      <c r="B6" s="77" t="s">
        <v>96</v>
      </c>
      <c r="C6" s="77" t="s">
        <v>97</v>
      </c>
    </row>
    <row r="7" ht="13.5" spans="1:3">
      <c r="A7" s="82" t="s">
        <v>98</v>
      </c>
      <c r="B7" s="77" t="s">
        <v>99</v>
      </c>
      <c r="C7" s="77" t="s">
        <v>100</v>
      </c>
    </row>
    <row r="8" ht="13.5" spans="1:3">
      <c r="A8" s="83" t="s">
        <v>101</v>
      </c>
      <c r="B8" s="77" t="s">
        <v>102</v>
      </c>
      <c r="C8" s="77" t="s">
        <v>103</v>
      </c>
    </row>
    <row r="9" ht="13.5" spans="1:3">
      <c r="A9" s="84"/>
      <c r="B9" s="85"/>
      <c r="C9" s="85"/>
    </row>
    <row r="11" ht="13.5" spans="1:3">
      <c r="A11" s="86" t="s">
        <v>104</v>
      </c>
      <c r="B11" s="86" t="s">
        <v>105</v>
      </c>
      <c r="C11" s="86" t="s">
        <v>106</v>
      </c>
    </row>
    <row r="12" ht="27" spans="1:3">
      <c r="A12" s="87" t="s">
        <v>107</v>
      </c>
      <c r="B12" s="87" t="s">
        <v>108</v>
      </c>
      <c r="C12" s="77" t="s">
        <v>87</v>
      </c>
    </row>
    <row r="13" ht="13.5" spans="1:3">
      <c r="A13" s="87" t="s">
        <v>109</v>
      </c>
      <c r="B13" s="87" t="s">
        <v>110</v>
      </c>
      <c r="C13" s="77" t="s">
        <v>90</v>
      </c>
    </row>
    <row r="14" ht="27" spans="1:3">
      <c r="A14" s="87" t="s">
        <v>111</v>
      </c>
      <c r="B14" s="87" t="s">
        <v>112</v>
      </c>
      <c r="C14" s="77" t="s">
        <v>113</v>
      </c>
    </row>
    <row r="15" ht="27" spans="1:3">
      <c r="A15" s="87" t="s">
        <v>114</v>
      </c>
      <c r="B15" s="87" t="s">
        <v>115</v>
      </c>
      <c r="C15" s="77" t="s">
        <v>96</v>
      </c>
    </row>
    <row r="16" ht="13.5" spans="1:3">
      <c r="A16" s="88" t="s">
        <v>116</v>
      </c>
      <c r="B16" s="88" t="s">
        <v>117</v>
      </c>
      <c r="C16" s="59" t="s">
        <v>118</v>
      </c>
    </row>
    <row r="17" ht="13.5" spans="1:3">
      <c r="A17" s="88" t="s">
        <v>119</v>
      </c>
      <c r="B17" s="88" t="s">
        <v>120</v>
      </c>
      <c r="C17" s="77" t="s">
        <v>102</v>
      </c>
    </row>
    <row r="18" ht="13.5" spans="1:3">
      <c r="A18" s="87" t="s">
        <v>121</v>
      </c>
      <c r="B18" s="87" t="s">
        <v>121</v>
      </c>
      <c r="C18" s="77" t="s">
        <v>122</v>
      </c>
    </row>
    <row r="19" ht="13.5" spans="1:3">
      <c r="A19" s="88" t="s">
        <v>123</v>
      </c>
      <c r="B19" s="88" t="s">
        <v>123</v>
      </c>
      <c r="C19" s="59" t="s">
        <v>124</v>
      </c>
    </row>
    <row r="20" ht="13.5" spans="1:3">
      <c r="A20" s="88" t="s">
        <v>125</v>
      </c>
      <c r="B20" s="88" t="s">
        <v>125</v>
      </c>
      <c r="C20" s="59" t="s">
        <v>126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opLeftCell="L1" workbookViewId="0">
      <selection activeCell="A3" sqref="A3"/>
    </sheetView>
  </sheetViews>
  <sheetFormatPr defaultColWidth="9.02654867256637" defaultRowHeight="13.5"/>
  <cols>
    <col min="1" max="1" width="8.90265486725664" customWidth="1"/>
    <col min="2" max="8" width="9.24778761061947" customWidth="1"/>
    <col min="9" max="9" width="5.38938053097345" customWidth="1"/>
    <col min="11" max="11" width="27.4778761061947" customWidth="1"/>
    <col min="12" max="13" width="19.6548672566372" customWidth="1"/>
    <col min="16" max="16" width="18.787610619469" customWidth="1"/>
    <col min="17" max="17" width="17.4601769911504" customWidth="1"/>
    <col min="18" max="18" width="42.0796460176991" customWidth="1"/>
    <col min="19" max="19" width="12.353982300885" customWidth="1"/>
  </cols>
  <sheetData>
    <row r="1" ht="13.9" spans="1:19">
      <c r="A1" s="59" t="s">
        <v>127</v>
      </c>
      <c r="B1" s="60" t="s">
        <v>128</v>
      </c>
      <c r="C1" s="60" t="s">
        <v>129</v>
      </c>
      <c r="D1" s="60" t="s">
        <v>130</v>
      </c>
      <c r="E1" s="60" t="s">
        <v>131</v>
      </c>
      <c r="F1" s="60" t="s">
        <v>132</v>
      </c>
      <c r="G1" s="60" t="s">
        <v>133</v>
      </c>
      <c r="H1" s="60" t="s">
        <v>134</v>
      </c>
      <c r="I1" s="61" t="s">
        <v>29</v>
      </c>
      <c r="K1" s="62" t="s">
        <v>135</v>
      </c>
      <c r="L1" s="62" t="s">
        <v>136</v>
      </c>
      <c r="M1" s="62" t="s">
        <v>137</v>
      </c>
      <c r="O1" s="63" t="s">
        <v>0</v>
      </c>
      <c r="P1" s="64" t="s">
        <v>138</v>
      </c>
      <c r="Q1" s="64" t="s">
        <v>139</v>
      </c>
      <c r="R1" s="64" t="s">
        <v>140</v>
      </c>
      <c r="S1" s="63" t="s">
        <v>141</v>
      </c>
    </row>
    <row r="2" ht="15.75" spans="1:19">
      <c r="A2" s="59" t="s">
        <v>142</v>
      </c>
      <c r="B2" s="28">
        <v>8</v>
      </c>
      <c r="C2" s="28">
        <v>6</v>
      </c>
      <c r="D2" s="28">
        <v>13</v>
      </c>
      <c r="E2" s="28">
        <v>5</v>
      </c>
      <c r="F2" s="28">
        <v>9</v>
      </c>
      <c r="G2" s="28">
        <v>4</v>
      </c>
      <c r="H2" s="28">
        <v>8</v>
      </c>
      <c r="I2" s="28">
        <f>SUM(B2:H2)</f>
        <v>53</v>
      </c>
      <c r="K2" s="65" t="s">
        <v>107</v>
      </c>
      <c r="L2" s="65" t="s">
        <v>108</v>
      </c>
      <c r="M2" s="66" t="s">
        <v>87</v>
      </c>
      <c r="O2" s="67">
        <v>301</v>
      </c>
      <c r="P2" s="68" t="s">
        <v>130</v>
      </c>
      <c r="Q2" s="69" t="s">
        <v>121</v>
      </c>
      <c r="R2" s="68" t="s">
        <v>143</v>
      </c>
      <c r="S2" s="67">
        <v>301</v>
      </c>
    </row>
    <row r="3" ht="15.75" spans="1:19">
      <c r="A3" s="59" t="s">
        <v>144</v>
      </c>
      <c r="B3" s="28">
        <v>36</v>
      </c>
      <c r="C3" s="28">
        <v>21</v>
      </c>
      <c r="D3" s="28">
        <v>58</v>
      </c>
      <c r="E3" s="28">
        <v>35</v>
      </c>
      <c r="F3" s="28">
        <v>22</v>
      </c>
      <c r="G3" s="28">
        <v>31</v>
      </c>
      <c r="H3" s="28">
        <v>26</v>
      </c>
      <c r="I3" s="28">
        <f>SUM(B3:H3)</f>
        <v>229</v>
      </c>
      <c r="K3" s="65" t="s">
        <v>109</v>
      </c>
      <c r="L3" s="65" t="s">
        <v>110</v>
      </c>
      <c r="M3" s="66" t="s">
        <v>90</v>
      </c>
      <c r="O3" s="67">
        <v>302</v>
      </c>
      <c r="P3" s="68" t="s">
        <v>130</v>
      </c>
      <c r="Q3" s="69" t="s">
        <v>121</v>
      </c>
      <c r="R3" s="68" t="s">
        <v>145</v>
      </c>
      <c r="S3" s="67">
        <v>301</v>
      </c>
    </row>
    <row r="4" ht="15.75" spans="1:19">
      <c r="A4" s="59" t="s">
        <v>146</v>
      </c>
      <c r="B4" s="28">
        <v>20</v>
      </c>
      <c r="C4" s="28">
        <v>37</v>
      </c>
      <c r="D4" s="28">
        <v>60</v>
      </c>
      <c r="E4" s="28">
        <v>33</v>
      </c>
      <c r="F4" s="28">
        <v>23</v>
      </c>
      <c r="G4" s="28">
        <v>35</v>
      </c>
      <c r="H4" s="28">
        <v>27</v>
      </c>
      <c r="I4" s="28">
        <f>SUM(B4:H4)</f>
        <v>235</v>
      </c>
      <c r="K4" s="65" t="s">
        <v>111</v>
      </c>
      <c r="L4" s="65" t="s">
        <v>112</v>
      </c>
      <c r="M4" s="66" t="s">
        <v>113</v>
      </c>
      <c r="O4" s="67">
        <v>303</v>
      </c>
      <c r="P4" s="68" t="s">
        <v>130</v>
      </c>
      <c r="Q4" s="69" t="s">
        <v>121</v>
      </c>
      <c r="R4" s="68" t="s">
        <v>147</v>
      </c>
      <c r="S4" s="67">
        <v>301</v>
      </c>
    </row>
    <row r="5" ht="15.75" spans="1:19">
      <c r="K5" s="65" t="s">
        <v>114</v>
      </c>
      <c r="L5" s="65" t="s">
        <v>115</v>
      </c>
      <c r="M5" s="66" t="s">
        <v>96</v>
      </c>
      <c r="O5" s="67">
        <v>304</v>
      </c>
      <c r="P5" s="68" t="s">
        <v>148</v>
      </c>
      <c r="Q5" s="69" t="s">
        <v>123</v>
      </c>
      <c r="R5" s="68" t="s">
        <v>130</v>
      </c>
      <c r="S5" s="67">
        <v>301</v>
      </c>
    </row>
    <row r="6" ht="15.75" spans="1:19">
      <c r="K6" s="70" t="s">
        <v>116</v>
      </c>
      <c r="L6" s="70" t="s">
        <v>117</v>
      </c>
      <c r="M6" s="71" t="s">
        <v>118</v>
      </c>
      <c r="O6" s="67">
        <v>305</v>
      </c>
      <c r="P6" s="68" t="s">
        <v>103</v>
      </c>
      <c r="Q6" s="69" t="s">
        <v>123</v>
      </c>
      <c r="R6" s="68" t="s">
        <v>130</v>
      </c>
      <c r="S6" s="67">
        <v>301</v>
      </c>
    </row>
    <row r="7" ht="15.75" spans="1:19">
      <c r="K7" s="70" t="s">
        <v>119</v>
      </c>
      <c r="L7" s="70" t="s">
        <v>120</v>
      </c>
      <c r="M7" s="66" t="s">
        <v>102</v>
      </c>
      <c r="O7" s="67">
        <v>345</v>
      </c>
      <c r="P7" s="68" t="s">
        <v>143</v>
      </c>
      <c r="Q7" s="69" t="s">
        <v>121</v>
      </c>
      <c r="R7" s="68" t="s">
        <v>149</v>
      </c>
      <c r="S7" s="67">
        <v>303</v>
      </c>
    </row>
    <row r="8" ht="15.75" spans="1:19">
      <c r="K8" s="65" t="s">
        <v>121</v>
      </c>
      <c r="L8" s="65" t="s">
        <v>121</v>
      </c>
      <c r="M8" s="66" t="s">
        <v>122</v>
      </c>
      <c r="O8" s="67">
        <v>346</v>
      </c>
      <c r="P8" s="68" t="s">
        <v>143</v>
      </c>
      <c r="Q8" s="69" t="s">
        <v>121</v>
      </c>
      <c r="R8" s="68" t="s">
        <v>150</v>
      </c>
      <c r="S8" s="67">
        <v>303</v>
      </c>
    </row>
    <row r="9" ht="15.75" spans="1:19">
      <c r="K9" s="70" t="s">
        <v>123</v>
      </c>
      <c r="L9" s="70" t="s">
        <v>123</v>
      </c>
      <c r="M9" s="71" t="s">
        <v>124</v>
      </c>
      <c r="O9" s="67">
        <v>347</v>
      </c>
      <c r="P9" s="68" t="s">
        <v>143</v>
      </c>
      <c r="Q9" s="69" t="s">
        <v>121</v>
      </c>
      <c r="R9" s="68" t="s">
        <v>151</v>
      </c>
      <c r="S9" s="67">
        <v>303</v>
      </c>
    </row>
    <row r="10" ht="15.75" spans="1:19">
      <c r="K10" s="70" t="s">
        <v>125</v>
      </c>
      <c r="L10" s="70" t="s">
        <v>125</v>
      </c>
      <c r="M10" s="71" t="s">
        <v>126</v>
      </c>
      <c r="O10" s="67">
        <v>348</v>
      </c>
      <c r="P10" s="68" t="s">
        <v>143</v>
      </c>
      <c r="Q10" s="69" t="s">
        <v>121</v>
      </c>
      <c r="R10" s="68" t="s">
        <v>152</v>
      </c>
      <c r="S10" s="67">
        <v>303</v>
      </c>
    </row>
    <row r="11" ht="15.75" spans="1:19">
      <c r="K11" s="72"/>
      <c r="L11" s="72"/>
      <c r="M11" s="72"/>
      <c r="O11" s="67">
        <v>349</v>
      </c>
      <c r="P11" s="68" t="s">
        <v>143</v>
      </c>
      <c r="Q11" s="69" t="s">
        <v>121</v>
      </c>
      <c r="R11" s="68" t="s">
        <v>153</v>
      </c>
      <c r="S11" s="67">
        <v>303</v>
      </c>
    </row>
    <row r="12" ht="15.75" spans="1:19">
      <c r="K12" s="73" t="s">
        <v>154</v>
      </c>
      <c r="L12" s="73" t="s">
        <v>137</v>
      </c>
      <c r="M12" s="73" t="s">
        <v>155</v>
      </c>
      <c r="O12" s="67">
        <v>350</v>
      </c>
      <c r="P12" s="68" t="s">
        <v>143</v>
      </c>
      <c r="Q12" s="69" t="s">
        <v>121</v>
      </c>
      <c r="R12" s="68" t="s">
        <v>156</v>
      </c>
      <c r="S12" s="67">
        <v>303</v>
      </c>
    </row>
    <row r="13" ht="15.75" spans="1:19">
      <c r="K13" s="65" t="s">
        <v>83</v>
      </c>
      <c r="L13" s="66" t="s">
        <v>84</v>
      </c>
      <c r="M13" s="66" t="s">
        <v>85</v>
      </c>
      <c r="O13" s="67">
        <v>351</v>
      </c>
      <c r="P13" s="68" t="s">
        <v>143</v>
      </c>
      <c r="Q13" s="69" t="s">
        <v>121</v>
      </c>
      <c r="R13" s="68" t="s">
        <v>157</v>
      </c>
      <c r="S13" s="67">
        <v>303</v>
      </c>
    </row>
    <row r="14" ht="15.75" spans="1:19">
      <c r="K14" s="65" t="s">
        <v>86</v>
      </c>
      <c r="L14" s="66" t="s">
        <v>87</v>
      </c>
      <c r="M14" s="66" t="s">
        <v>88</v>
      </c>
      <c r="O14" s="67">
        <v>352</v>
      </c>
      <c r="P14" s="68" t="s">
        <v>143</v>
      </c>
      <c r="Q14" s="69" t="s">
        <v>121</v>
      </c>
      <c r="R14" s="68" t="s">
        <v>158</v>
      </c>
      <c r="S14" s="67">
        <v>303</v>
      </c>
    </row>
    <row r="15" ht="15.75" spans="1:19">
      <c r="K15" s="65" t="s">
        <v>89</v>
      </c>
      <c r="L15" s="66" t="s">
        <v>90</v>
      </c>
      <c r="M15" s="66" t="s">
        <v>91</v>
      </c>
      <c r="O15" s="67">
        <v>353</v>
      </c>
      <c r="P15" s="68" t="s">
        <v>143</v>
      </c>
      <c r="Q15" s="69" t="s">
        <v>121</v>
      </c>
      <c r="R15" s="68" t="s">
        <v>159</v>
      </c>
      <c r="S15" s="67">
        <v>303</v>
      </c>
    </row>
    <row r="16" ht="15.75" spans="1:19">
      <c r="K16" s="65" t="s">
        <v>92</v>
      </c>
      <c r="L16" s="66" t="s">
        <v>93</v>
      </c>
      <c r="M16" s="66" t="s">
        <v>160</v>
      </c>
      <c r="O16" s="67">
        <v>354</v>
      </c>
      <c r="P16" s="68" t="s">
        <v>143</v>
      </c>
      <c r="Q16" s="69" t="s">
        <v>121</v>
      </c>
      <c r="R16" s="68" t="s">
        <v>161</v>
      </c>
      <c r="S16" s="67">
        <v>303</v>
      </c>
    </row>
    <row r="17" ht="15.75" spans="11:19">
      <c r="K17" s="65" t="s">
        <v>95</v>
      </c>
      <c r="L17" s="66" t="s">
        <v>96</v>
      </c>
      <c r="M17" s="66" t="s">
        <v>97</v>
      </c>
      <c r="O17" s="67">
        <v>355</v>
      </c>
      <c r="P17" s="68" t="s">
        <v>145</v>
      </c>
      <c r="Q17" s="69" t="s">
        <v>121</v>
      </c>
      <c r="R17" s="68" t="s">
        <v>162</v>
      </c>
      <c r="S17" s="67">
        <v>311</v>
      </c>
    </row>
    <row r="18" ht="15.75" spans="11:19">
      <c r="K18" s="65" t="s">
        <v>98</v>
      </c>
      <c r="L18" s="66" t="s">
        <v>99</v>
      </c>
      <c r="M18" s="66" t="s">
        <v>100</v>
      </c>
      <c r="O18" s="67">
        <v>356</v>
      </c>
      <c r="P18" s="68" t="s">
        <v>145</v>
      </c>
      <c r="Q18" s="69" t="s">
        <v>121</v>
      </c>
      <c r="R18" s="68" t="s">
        <v>163</v>
      </c>
      <c r="S18" s="67">
        <v>311</v>
      </c>
    </row>
    <row r="19" ht="15.75" spans="11:19">
      <c r="K19" s="65" t="s">
        <v>101</v>
      </c>
      <c r="L19" s="66" t="s">
        <v>102</v>
      </c>
      <c r="M19" s="66" t="s">
        <v>103</v>
      </c>
      <c r="O19" s="67">
        <v>357</v>
      </c>
      <c r="P19" s="68" t="s">
        <v>145</v>
      </c>
      <c r="Q19" s="69" t="s">
        <v>121</v>
      </c>
      <c r="R19" s="68" t="s">
        <v>164</v>
      </c>
      <c r="S19" s="67">
        <v>311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topLeftCell="A7" workbookViewId="0">
      <selection activeCell="D11" sqref="D11"/>
    </sheetView>
  </sheetViews>
  <sheetFormatPr defaultColWidth="9.02654867256637" defaultRowHeight="13.5" outlineLevelCol="2"/>
  <cols>
    <col min="1" max="2" width="9.02654867256637" style="2"/>
    <col min="3" max="3" width="74.8761061946903" style="2" customWidth="1"/>
  </cols>
  <sheetData>
    <row r="1" ht="15.75" spans="1:3">
      <c r="A1" s="45" t="s">
        <v>165</v>
      </c>
      <c r="B1" s="45" t="s">
        <v>166</v>
      </c>
      <c r="C1" s="45" t="s">
        <v>167</v>
      </c>
    </row>
    <row r="2" ht="31.5" spans="1:3">
      <c r="A2" s="46" t="s">
        <v>168</v>
      </c>
      <c r="B2" s="47">
        <v>5</v>
      </c>
      <c r="C2" s="48" t="s">
        <v>169</v>
      </c>
    </row>
    <row r="3" ht="31.5" spans="1:3">
      <c r="A3" s="49"/>
      <c r="B3" s="50">
        <v>4</v>
      </c>
      <c r="C3" s="48" t="s">
        <v>170</v>
      </c>
    </row>
    <row r="4" ht="31.5" spans="1:3">
      <c r="A4" s="49"/>
      <c r="B4" s="50">
        <v>3</v>
      </c>
      <c r="C4" s="48" t="s">
        <v>171</v>
      </c>
    </row>
    <row r="5" ht="31.5" spans="1:3">
      <c r="A5" s="49"/>
      <c r="B5" s="50">
        <v>2</v>
      </c>
      <c r="C5" s="48" t="s">
        <v>172</v>
      </c>
    </row>
    <row r="6" ht="31.5" spans="1:3">
      <c r="A6" s="51"/>
      <c r="B6" s="50">
        <v>1</v>
      </c>
      <c r="C6" s="48" t="s">
        <v>173</v>
      </c>
    </row>
    <row r="7" ht="31.5" spans="1:3">
      <c r="A7" s="52" t="s">
        <v>174</v>
      </c>
      <c r="B7" s="53">
        <v>5</v>
      </c>
      <c r="C7" s="54" t="s">
        <v>175</v>
      </c>
    </row>
    <row r="8" ht="31.5" spans="1:3">
      <c r="A8" s="55"/>
      <c r="B8" s="56">
        <v>4</v>
      </c>
      <c r="C8" s="57" t="s">
        <v>176</v>
      </c>
    </row>
    <row r="9" ht="31.5" spans="1:3">
      <c r="A9" s="55"/>
      <c r="B9" s="56">
        <v>3</v>
      </c>
      <c r="C9" s="54" t="s">
        <v>177</v>
      </c>
    </row>
    <row r="10" ht="31.5" spans="1:3">
      <c r="A10" s="55"/>
      <c r="B10" s="56">
        <v>2</v>
      </c>
      <c r="C10" s="54" t="s">
        <v>178</v>
      </c>
    </row>
    <row r="11" ht="15.75" spans="1:3">
      <c r="A11" s="58"/>
      <c r="B11" s="56">
        <v>1</v>
      </c>
      <c r="C11" s="54" t="s">
        <v>179</v>
      </c>
    </row>
    <row r="12" ht="31.5" spans="1:3">
      <c r="A12" s="46" t="s">
        <v>180</v>
      </c>
      <c r="B12" s="47">
        <v>5</v>
      </c>
      <c r="C12" s="48" t="s">
        <v>181</v>
      </c>
    </row>
    <row r="13" ht="31.5" spans="1:3">
      <c r="A13" s="49"/>
      <c r="B13" s="50">
        <v>4</v>
      </c>
      <c r="C13" s="48" t="s">
        <v>182</v>
      </c>
    </row>
    <row r="14" ht="31.5" spans="1:3">
      <c r="A14" s="49"/>
      <c r="B14" s="50">
        <v>3</v>
      </c>
      <c r="C14" s="48" t="s">
        <v>183</v>
      </c>
    </row>
    <row r="15" ht="31.5" spans="1:3">
      <c r="A15" s="49"/>
      <c r="B15" s="50">
        <v>2</v>
      </c>
      <c r="C15" s="48" t="s">
        <v>184</v>
      </c>
    </row>
    <row r="16" ht="31.5" spans="1:3">
      <c r="A16" s="51"/>
      <c r="B16" s="50">
        <v>1</v>
      </c>
      <c r="C16" s="48" t="s">
        <v>185</v>
      </c>
    </row>
  </sheetData>
  <mergeCells count="3">
    <mergeCell ref="A2:A6"/>
    <mergeCell ref="A7:A11"/>
    <mergeCell ref="A12:A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19" workbookViewId="0">
      <selection activeCell="D17" sqref="D17"/>
    </sheetView>
  </sheetViews>
  <sheetFormatPr defaultColWidth="9.02654867256637" defaultRowHeight="13.85" outlineLevelCol="5"/>
  <cols>
    <col min="1" max="1" width="9.02654867256637" style="25"/>
    <col min="2" max="2" width="9.02654867256637" style="2"/>
    <col min="3" max="3" width="82.7079646017699" style="25" customWidth="1"/>
    <col min="4" max="6" width="9.02654867256637" style="25"/>
  </cols>
  <sheetData>
    <row r="1" ht="14.25" spans="1:6">
      <c r="A1" s="26" t="s">
        <v>186</v>
      </c>
      <c r="B1" s="27" t="s">
        <v>127</v>
      </c>
      <c r="C1" s="26" t="s">
        <v>187</v>
      </c>
      <c r="D1" s="26">
        <v>8</v>
      </c>
      <c r="E1" s="26"/>
      <c r="F1" s="26"/>
    </row>
    <row r="2" spans="1:6">
      <c r="A2" s="28">
        <v>1</v>
      </c>
      <c r="B2" s="29" t="s">
        <v>128</v>
      </c>
      <c r="C2" s="30" t="s">
        <v>188</v>
      </c>
      <c r="D2" s="25">
        <v>1</v>
      </c>
    </row>
    <row r="3" spans="1:6">
      <c r="A3" s="28">
        <v>2</v>
      </c>
      <c r="B3" s="31"/>
      <c r="C3" s="32" t="s">
        <v>189</v>
      </c>
      <c r="D3" s="25">
        <v>1</v>
      </c>
    </row>
    <row r="4" spans="1:6">
      <c r="A4" s="28">
        <v>3</v>
      </c>
      <c r="B4" s="31"/>
      <c r="C4" s="32" t="s">
        <v>190</v>
      </c>
      <c r="D4" s="25">
        <v>1</v>
      </c>
    </row>
    <row r="5" ht="13.9" spans="1:6">
      <c r="A5" s="28">
        <v>4</v>
      </c>
      <c r="B5" s="31"/>
      <c r="C5" s="33" t="s">
        <v>191</v>
      </c>
      <c r="D5" s="25">
        <v>1</v>
      </c>
    </row>
    <row r="6" spans="1:6">
      <c r="A6" s="28">
        <v>5</v>
      </c>
      <c r="B6" s="31"/>
      <c r="C6" s="34" t="s">
        <v>192</v>
      </c>
      <c r="D6" s="25">
        <v>1</v>
      </c>
    </row>
    <row r="7" ht="14.65" spans="1:6">
      <c r="A7" s="28">
        <v>6</v>
      </c>
      <c r="B7" s="35"/>
      <c r="C7" s="36" t="s">
        <v>193</v>
      </c>
      <c r="D7" s="25">
        <v>1</v>
      </c>
    </row>
    <row r="8" spans="1:6">
      <c r="A8" s="28">
        <v>7</v>
      </c>
      <c r="B8" s="37" t="s">
        <v>129</v>
      </c>
      <c r="C8" s="38" t="s">
        <v>194</v>
      </c>
      <c r="D8" s="25">
        <v>1</v>
      </c>
    </row>
    <row r="9" spans="1:6">
      <c r="A9" s="28">
        <v>8</v>
      </c>
      <c r="B9" s="39"/>
      <c r="C9" s="40" t="s">
        <v>195</v>
      </c>
      <c r="D9" s="25">
        <v>1</v>
      </c>
    </row>
    <row r="10" spans="1:6">
      <c r="A10" s="28">
        <v>9</v>
      </c>
      <c r="B10" s="39"/>
      <c r="C10" s="41" t="s">
        <v>196</v>
      </c>
      <c r="D10" s="25">
        <v>1</v>
      </c>
    </row>
    <row r="11" ht="13.9" spans="1:6">
      <c r="A11" s="28">
        <v>10</v>
      </c>
      <c r="B11" s="39"/>
      <c r="C11" s="40" t="s">
        <v>197</v>
      </c>
      <c r="D11" s="25">
        <v>1</v>
      </c>
    </row>
    <row r="12" spans="1:6">
      <c r="A12" s="28">
        <v>11</v>
      </c>
      <c r="B12" s="39"/>
      <c r="C12" s="40" t="s">
        <v>198</v>
      </c>
      <c r="D12" s="25">
        <v>1</v>
      </c>
    </row>
    <row r="13" ht="14.6" spans="1:6">
      <c r="A13" s="28">
        <v>12</v>
      </c>
      <c r="B13" s="42"/>
      <c r="C13" s="43" t="s">
        <v>199</v>
      </c>
      <c r="D13" s="25">
        <v>1</v>
      </c>
    </row>
    <row r="14" spans="1:6">
      <c r="A14" s="28">
        <v>13</v>
      </c>
      <c r="B14" s="29" t="s">
        <v>130</v>
      </c>
      <c r="C14" s="30" t="s">
        <v>200</v>
      </c>
      <c r="D14" s="25">
        <v>0</v>
      </c>
    </row>
    <row r="15" spans="1:6">
      <c r="A15" s="28">
        <v>14</v>
      </c>
      <c r="B15" s="31"/>
      <c r="C15" s="32" t="s">
        <v>201</v>
      </c>
      <c r="D15" s="25">
        <v>1</v>
      </c>
    </row>
    <row r="16" spans="1:6">
      <c r="A16" s="28">
        <v>15</v>
      </c>
      <c r="B16" s="31"/>
      <c r="C16" s="32" t="s">
        <v>202</v>
      </c>
    </row>
    <row r="17" spans="1:4">
      <c r="A17" s="28">
        <v>16</v>
      </c>
      <c r="B17" s="31"/>
      <c r="C17" s="32" t="s">
        <v>203</v>
      </c>
      <c r="D17" s="25">
        <v>1</v>
      </c>
    </row>
    <row r="18" spans="1:4">
      <c r="A18" s="28">
        <v>17</v>
      </c>
      <c r="B18" s="31"/>
      <c r="C18" s="32" t="s">
        <v>204</v>
      </c>
      <c r="D18" s="25">
        <v>1</v>
      </c>
    </row>
    <row r="19" ht="14.6" spans="1:4">
      <c r="A19" s="28">
        <v>18</v>
      </c>
      <c r="B19" s="35"/>
      <c r="C19" s="44" t="s">
        <v>205</v>
      </c>
      <c r="D19" s="25">
        <v>1</v>
      </c>
    </row>
    <row r="20" spans="1:4">
      <c r="A20" s="28">
        <v>19</v>
      </c>
      <c r="B20" s="29" t="s">
        <v>131</v>
      </c>
      <c r="C20" s="30" t="s">
        <v>206</v>
      </c>
      <c r="D20" s="25">
        <v>1</v>
      </c>
    </row>
    <row r="21" spans="1:4">
      <c r="A21" s="28">
        <v>20</v>
      </c>
      <c r="B21" s="31"/>
      <c r="C21" s="32" t="s">
        <v>207</v>
      </c>
      <c r="D21" s="25">
        <v>1</v>
      </c>
    </row>
    <row r="22" ht="13.9" spans="1:4">
      <c r="A22" s="28">
        <v>21</v>
      </c>
      <c r="B22" s="31"/>
      <c r="C22" s="32" t="s">
        <v>208</v>
      </c>
      <c r="D22" s="25">
        <v>1</v>
      </c>
    </row>
    <row r="23" spans="1:4">
      <c r="A23" s="28">
        <v>22</v>
      </c>
      <c r="B23" s="31"/>
      <c r="C23" s="32" t="s">
        <v>209</v>
      </c>
      <c r="D23" s="25">
        <v>1</v>
      </c>
    </row>
    <row r="24" spans="1:4">
      <c r="A24" s="28">
        <v>23</v>
      </c>
      <c r="B24" s="31"/>
      <c r="C24" s="34" t="s">
        <v>210</v>
      </c>
      <c r="D24" s="25">
        <v>1</v>
      </c>
    </row>
    <row r="25" ht="14.65" spans="1:4">
      <c r="A25" s="28">
        <v>24</v>
      </c>
      <c r="B25" s="35"/>
      <c r="C25" s="36" t="s">
        <v>211</v>
      </c>
      <c r="D25" s="25">
        <v>1</v>
      </c>
    </row>
    <row r="26" spans="1:4">
      <c r="A26" s="28">
        <v>25</v>
      </c>
      <c r="B26" s="29" t="s">
        <v>132</v>
      </c>
      <c r="C26" s="30" t="s">
        <v>212</v>
      </c>
      <c r="D26" s="25">
        <v>1</v>
      </c>
    </row>
    <row r="27" spans="1:4">
      <c r="A27" s="28">
        <v>26</v>
      </c>
      <c r="B27" s="31"/>
      <c r="C27" s="32" t="s">
        <v>213</v>
      </c>
      <c r="D27" s="25">
        <v>1</v>
      </c>
    </row>
    <row r="28" spans="1:4">
      <c r="A28" s="28">
        <v>27</v>
      </c>
      <c r="B28" s="31"/>
      <c r="C28" s="32" t="s">
        <v>214</v>
      </c>
      <c r="D28" s="25">
        <v>1</v>
      </c>
    </row>
    <row r="29" spans="1:4">
      <c r="A29" s="28">
        <v>28</v>
      </c>
      <c r="B29" s="31"/>
      <c r="C29" s="34" t="s">
        <v>215</v>
      </c>
      <c r="D29" s="25">
        <v>1</v>
      </c>
    </row>
    <row r="30" spans="1:4">
      <c r="A30" s="28">
        <v>29</v>
      </c>
      <c r="B30" s="31"/>
      <c r="C30" s="34" t="s">
        <v>216</v>
      </c>
      <c r="D30" s="25">
        <v>1</v>
      </c>
    </row>
    <row r="31" ht="14.6" spans="1:4">
      <c r="A31" s="28">
        <v>30</v>
      </c>
      <c r="B31" s="35"/>
      <c r="C31" s="44"/>
    </row>
    <row r="32" spans="1:4">
      <c r="A32" s="28">
        <v>31</v>
      </c>
      <c r="B32" s="29" t="s">
        <v>133</v>
      </c>
      <c r="C32" s="30" t="s">
        <v>217</v>
      </c>
      <c r="D32" s="25">
        <v>1</v>
      </c>
    </row>
    <row r="33" spans="1:4">
      <c r="A33" s="28">
        <v>32</v>
      </c>
      <c r="B33" s="31"/>
      <c r="C33" s="32" t="s">
        <v>218</v>
      </c>
      <c r="D33" s="25">
        <v>1</v>
      </c>
    </row>
    <row r="34" spans="1:4">
      <c r="A34" s="28">
        <v>33</v>
      </c>
      <c r="B34" s="31"/>
      <c r="C34" s="32" t="s">
        <v>219</v>
      </c>
      <c r="D34" s="25">
        <v>1</v>
      </c>
    </row>
    <row r="35" spans="1:4">
      <c r="A35" s="28">
        <v>34</v>
      </c>
      <c r="B35" s="31"/>
      <c r="C35" s="34" t="s">
        <v>220</v>
      </c>
      <c r="D35" s="25">
        <v>1</v>
      </c>
    </row>
    <row r="36" spans="1:4">
      <c r="A36" s="28">
        <v>35</v>
      </c>
      <c r="B36" s="31"/>
      <c r="C36" s="34" t="s">
        <v>221</v>
      </c>
      <c r="D36" s="25">
        <v>1</v>
      </c>
    </row>
    <row r="37" ht="14.6" spans="1:4">
      <c r="A37" s="28">
        <v>36</v>
      </c>
      <c r="B37" s="35"/>
      <c r="C37" s="36" t="s">
        <v>222</v>
      </c>
      <c r="D37" s="25">
        <v>1</v>
      </c>
    </row>
    <row r="38" spans="1:4">
      <c r="A38" s="28">
        <v>37</v>
      </c>
      <c r="B38" s="29" t="s">
        <v>134</v>
      </c>
      <c r="C38" s="30" t="s">
        <v>223</v>
      </c>
      <c r="D38" s="25">
        <v>1</v>
      </c>
    </row>
    <row r="39" spans="1:4">
      <c r="A39" s="28">
        <v>38</v>
      </c>
      <c r="B39" s="31"/>
      <c r="C39" s="34" t="s">
        <v>224</v>
      </c>
      <c r="D39" s="25">
        <v>1</v>
      </c>
    </row>
    <row r="40" spans="1:4">
      <c r="A40" s="28">
        <v>39</v>
      </c>
      <c r="B40" s="31"/>
      <c r="C40" s="34" t="s">
        <v>225</v>
      </c>
      <c r="D40" s="25">
        <v>1</v>
      </c>
    </row>
    <row r="41" spans="1:4">
      <c r="A41" s="28">
        <v>40</v>
      </c>
      <c r="B41" s="31"/>
      <c r="C41" s="32" t="s">
        <v>226</v>
      </c>
      <c r="D41" s="25">
        <v>1</v>
      </c>
    </row>
    <row r="42" spans="1:4">
      <c r="A42" s="28">
        <v>41</v>
      </c>
      <c r="B42" s="31"/>
      <c r="C42" s="34" t="s">
        <v>227</v>
      </c>
      <c r="D42" s="25">
        <v>1</v>
      </c>
    </row>
    <row r="43" ht="14.6" spans="1:4">
      <c r="A43" s="28">
        <v>42</v>
      </c>
      <c r="B43" s="35"/>
      <c r="C43" s="36" t="s">
        <v>228</v>
      </c>
      <c r="D43" s="25">
        <v>1</v>
      </c>
    </row>
  </sheetData>
  <mergeCells count="7">
    <mergeCell ref="B2:B7"/>
    <mergeCell ref="B8:B13"/>
    <mergeCell ref="B14:B19"/>
    <mergeCell ref="B20:B25"/>
    <mergeCell ref="B26:B31"/>
    <mergeCell ref="B32:B37"/>
    <mergeCell ref="B38:B4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opLeftCell="A13" workbookViewId="0">
      <selection activeCell="A14" sqref="$A14:$XFD14"/>
    </sheetView>
  </sheetViews>
  <sheetFormatPr defaultColWidth="9.02654867256637" defaultRowHeight="15.35"/>
  <cols>
    <col min="2" max="2" width="9.02654867256637" style="1"/>
    <col min="16" max="16" width="9.02654867256637" style="2"/>
  </cols>
  <sheetData>
    <row r="1" spans="1:16">
      <c r="B1" s="3">
        <v>14</v>
      </c>
      <c r="C1" s="113" t="s">
        <v>27</v>
      </c>
      <c r="D1" s="113" t="s">
        <v>28</v>
      </c>
      <c r="E1" s="113" t="s">
        <v>229</v>
      </c>
      <c r="F1" s="113" t="s">
        <v>230</v>
      </c>
      <c r="G1" s="113" t="s">
        <v>231</v>
      </c>
      <c r="H1" s="113" t="s">
        <v>232</v>
      </c>
      <c r="I1" s="113" t="s">
        <v>233</v>
      </c>
      <c r="J1" s="113" t="s">
        <v>234</v>
      </c>
      <c r="K1" s="113" t="s">
        <v>235</v>
      </c>
      <c r="L1" s="113" t="s">
        <v>236</v>
      </c>
      <c r="M1" s="113" t="s">
        <v>237</v>
      </c>
      <c r="N1" s="113" t="s">
        <v>238</v>
      </c>
      <c r="O1" s="113" t="s">
        <v>239</v>
      </c>
      <c r="P1" s="113" t="s">
        <v>240</v>
      </c>
    </row>
    <row r="2" spans="1:16">
      <c r="B2" s="4">
        <v>25</v>
      </c>
      <c r="C2" s="1">
        <v>15</v>
      </c>
      <c r="D2" s="1">
        <v>16</v>
      </c>
      <c r="E2" s="1">
        <v>17</v>
      </c>
      <c r="F2" s="1">
        <v>18</v>
      </c>
      <c r="G2" s="1">
        <v>19</v>
      </c>
      <c r="H2" s="1">
        <v>20</v>
      </c>
      <c r="I2" s="1">
        <v>21</v>
      </c>
      <c r="J2" s="1">
        <v>22</v>
      </c>
      <c r="K2" s="1">
        <v>23</v>
      </c>
      <c r="L2" s="1">
        <v>24</v>
      </c>
      <c r="M2" s="1">
        <v>25</v>
      </c>
      <c r="N2" s="1">
        <v>26</v>
      </c>
      <c r="O2" s="1">
        <v>27</v>
      </c>
      <c r="P2" s="1">
        <v>28</v>
      </c>
    </row>
    <row r="3" spans="1:16">
      <c r="B3" s="5">
        <v>36</v>
      </c>
      <c r="C3" s="1">
        <v>29</v>
      </c>
      <c r="D3" s="1">
        <v>30</v>
      </c>
      <c r="E3" s="1">
        <v>31</v>
      </c>
      <c r="F3" s="1">
        <v>32</v>
      </c>
      <c r="G3" s="1">
        <v>33</v>
      </c>
      <c r="H3" s="1">
        <v>34</v>
      </c>
      <c r="I3" s="1">
        <v>35</v>
      </c>
      <c r="J3" s="1">
        <v>36</v>
      </c>
      <c r="K3" s="1">
        <v>37</v>
      </c>
      <c r="L3" s="1">
        <v>38</v>
      </c>
      <c r="M3" s="1">
        <v>39</v>
      </c>
      <c r="N3" s="1">
        <v>40</v>
      </c>
      <c r="O3" s="1">
        <v>41</v>
      </c>
      <c r="P3" s="1">
        <v>42</v>
      </c>
    </row>
    <row r="4" ht="16.1" spans="1:16">
      <c r="A4" s="1"/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6" t="s">
        <v>246</v>
      </c>
      <c r="I4" s="6" t="s">
        <v>247</v>
      </c>
      <c r="J4" s="7" t="s">
        <v>248</v>
      </c>
      <c r="K4" s="7" t="s">
        <v>249</v>
      </c>
      <c r="L4" s="7" t="s">
        <v>250</v>
      </c>
      <c r="M4" s="7" t="s">
        <v>251</v>
      </c>
      <c r="N4" s="7" t="s">
        <v>252</v>
      </c>
      <c r="O4" s="7" t="s">
        <v>253</v>
      </c>
      <c r="P4" s="7" t="s">
        <v>254</v>
      </c>
    </row>
    <row r="5" spans="1:16">
      <c r="A5" s="8" t="s">
        <v>255</v>
      </c>
      <c r="B5" s="9">
        <v>312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6">
      <c r="A6" s="8" t="s">
        <v>256</v>
      </c>
      <c r="B6" s="13" t="s">
        <v>257</v>
      </c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6">
      <c r="A7" s="8" t="s">
        <v>258</v>
      </c>
      <c r="B7" s="17" t="s">
        <v>259</v>
      </c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>
      <c r="A8" s="8" t="s">
        <v>260</v>
      </c>
      <c r="B8" s="18">
        <v>123</v>
      </c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</row>
    <row r="9" spans="1:16">
      <c r="A9" s="8" t="s">
        <v>261</v>
      </c>
      <c r="B9" s="19">
        <v>231</v>
      </c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</row>
    <row r="10" ht="16.1" spans="1:16">
      <c r="A10" s="8" t="s">
        <v>262</v>
      </c>
      <c r="B10" s="20">
        <v>132</v>
      </c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</row>
    <row r="11" spans="1:16">
      <c r="A11" s="24" t="s">
        <v>263</v>
      </c>
      <c r="B11" s="9">
        <v>312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16">
      <c r="A12" s="24" t="s">
        <v>264</v>
      </c>
      <c r="B12" s="18" t="s">
        <v>265</v>
      </c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</row>
    <row r="13" spans="1:16">
      <c r="A13" s="24" t="s">
        <v>266</v>
      </c>
      <c r="B13" s="20">
        <v>132</v>
      </c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</row>
    <row r="14" spans="1:16">
      <c r="A14" s="24" t="s">
        <v>267</v>
      </c>
      <c r="B14" s="17" t="s">
        <v>259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</row>
    <row r="15" spans="1:16">
      <c r="A15" s="24" t="s">
        <v>268</v>
      </c>
      <c r="B15" s="19" t="s">
        <v>269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</row>
    <row r="16" ht="16.1" spans="1:16">
      <c r="A16" s="24" t="s">
        <v>270</v>
      </c>
      <c r="B16" s="13" t="s">
        <v>257</v>
      </c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</row>
    <row r="17" spans="1:16">
      <c r="A17" s="8" t="s">
        <v>271</v>
      </c>
      <c r="B17" s="18" t="s">
        <v>265</v>
      </c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1:16">
      <c r="A18" s="8" t="s">
        <v>272</v>
      </c>
      <c r="B18" s="20" t="s">
        <v>273</v>
      </c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6"/>
    </row>
    <row r="19" spans="1:16">
      <c r="A19" s="8" t="s">
        <v>274</v>
      </c>
      <c r="B19" s="19">
        <v>231</v>
      </c>
      <c r="C19" s="1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6"/>
    </row>
    <row r="20" spans="1:16">
      <c r="A20" s="8" t="s">
        <v>275</v>
      </c>
      <c r="B20" s="13" t="s">
        <v>257</v>
      </c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/>
    </row>
    <row r="21" spans="1:16">
      <c r="A21" s="8" t="s">
        <v>276</v>
      </c>
      <c r="B21" s="17" t="s">
        <v>259</v>
      </c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</row>
    <row r="22" ht="16.1" spans="1:16">
      <c r="A22" s="8" t="s">
        <v>277</v>
      </c>
      <c r="B22" s="9" t="s">
        <v>278</v>
      </c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</row>
    <row r="23" spans="1:16">
      <c r="A23" s="24" t="s">
        <v>279</v>
      </c>
      <c r="B23" s="13">
        <v>213</v>
      </c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</row>
    <row r="24" spans="1:16">
      <c r="A24" s="24" t="s">
        <v>280</v>
      </c>
      <c r="B24" s="19" t="s">
        <v>269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/>
    </row>
    <row r="25" spans="1:16">
      <c r="A25" s="24" t="s">
        <v>281</v>
      </c>
      <c r="B25" s="18" t="s">
        <v>265</v>
      </c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/>
    </row>
    <row r="26" spans="1:16">
      <c r="A26" s="24" t="s">
        <v>282</v>
      </c>
      <c r="B26" s="9" t="s">
        <v>278</v>
      </c>
      <c r="C26" s="14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/>
    </row>
    <row r="27" spans="1:16">
      <c r="A27" s="24" t="s">
        <v>283</v>
      </c>
      <c r="B27" s="20">
        <v>132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</row>
    <row r="28" ht="16.1" spans="1:16">
      <c r="A28" s="24" t="s">
        <v>284</v>
      </c>
      <c r="B28" s="17">
        <v>321</v>
      </c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</row>
    <row r="29" spans="1:16">
      <c r="A29" s="8" t="s">
        <v>285</v>
      </c>
      <c r="B29" s="13" t="s">
        <v>257</v>
      </c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</row>
    <row r="30" spans="1:16">
      <c r="A30" s="8" t="s">
        <v>286</v>
      </c>
      <c r="B30" s="17" t="s">
        <v>259</v>
      </c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</row>
    <row r="31" spans="1:16">
      <c r="A31" s="8" t="s">
        <v>287</v>
      </c>
      <c r="B31" s="19">
        <v>231</v>
      </c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/>
    </row>
    <row r="32" spans="1:16">
      <c r="A32" s="8" t="s">
        <v>288</v>
      </c>
      <c r="B32" s="18" t="s">
        <v>265</v>
      </c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</row>
    <row r="33" spans="1:16">
      <c r="A33" s="8" t="s">
        <v>289</v>
      </c>
      <c r="B33" s="20" t="s">
        <v>273</v>
      </c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</row>
    <row r="34" ht="16.1" spans="1:16">
      <c r="A34" s="8" t="s">
        <v>290</v>
      </c>
      <c r="B34" s="9" t="s">
        <v>278</v>
      </c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</row>
    <row r="35" spans="1:16">
      <c r="A35" s="24" t="s">
        <v>291</v>
      </c>
      <c r="B35" s="17">
        <v>321</v>
      </c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  <row r="36" spans="1:16">
      <c r="A36" s="24" t="s">
        <v>292</v>
      </c>
      <c r="B36" s="20" t="s">
        <v>273</v>
      </c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/>
    </row>
    <row r="37" spans="1:16">
      <c r="A37" s="24" t="s">
        <v>293</v>
      </c>
      <c r="B37" s="19" t="s">
        <v>269</v>
      </c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/>
    </row>
    <row r="38" spans="1:16">
      <c r="A38" s="24" t="s">
        <v>294</v>
      </c>
      <c r="B38" s="13" t="s">
        <v>257</v>
      </c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</row>
    <row r="39" spans="1:16">
      <c r="A39" s="24" t="s">
        <v>295</v>
      </c>
      <c r="B39" s="18" t="s">
        <v>265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</row>
    <row r="40" ht="16.1" spans="1:16">
      <c r="A40" s="24" t="s">
        <v>296</v>
      </c>
      <c r="B40" s="9">
        <v>312</v>
      </c>
      <c r="C40" s="21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3"/>
    </row>
    <row r="41" spans="1:16">
      <c r="A41" s="8" t="s">
        <v>297</v>
      </c>
      <c r="B41" s="17" t="s">
        <v>259</v>
      </c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</row>
    <row r="42" spans="1:16">
      <c r="A42" s="8" t="s">
        <v>298</v>
      </c>
      <c r="B42" s="18" t="s">
        <v>265</v>
      </c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/>
    </row>
    <row r="43" spans="1:16">
      <c r="A43" s="8" t="s">
        <v>299</v>
      </c>
      <c r="B43" s="19">
        <v>231</v>
      </c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6"/>
    </row>
    <row r="44" spans="1:16">
      <c r="A44" s="8" t="s">
        <v>300</v>
      </c>
      <c r="B44" s="13" t="s">
        <v>257</v>
      </c>
      <c r="C44" s="1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>
      <c r="A45" s="8" t="s">
        <v>301</v>
      </c>
      <c r="B45" s="20" t="s">
        <v>273</v>
      </c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/>
    </row>
    <row r="46" ht="16.1" spans="1:16">
      <c r="A46" s="8" t="s">
        <v>302</v>
      </c>
      <c r="B46" s="9">
        <v>312</v>
      </c>
      <c r="C46" s="2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测试数据库</vt:lpstr>
      <vt:lpstr>知识图谱项目进展</vt:lpstr>
      <vt:lpstr>纳入文献</vt:lpstr>
      <vt:lpstr>实体及关系类型定义</vt:lpstr>
      <vt:lpstr>表4</vt:lpstr>
      <vt:lpstr>评价标准</vt:lpstr>
      <vt:lpstr>测评问题</vt:lpstr>
      <vt:lpstr>答案测评编码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13692</dc:creator>
  <cp:lastModifiedBy>杨扬</cp:lastModifiedBy>
  <dcterms:created xsi:type="dcterms:W3CDTF">2025-11-19T00:55:00Z</dcterms:created>
  <dcterms:modified xsi:type="dcterms:W3CDTF">2026-03-02T01:52:16Z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3D2F5B2377A54911AAC79B03500AA639_13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